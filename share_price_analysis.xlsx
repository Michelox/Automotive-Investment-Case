
<file path=[Content_Types].xml><?xml version="1.0" encoding="utf-8"?>
<Types xmlns="http://schemas.openxmlformats.org/package/2006/content-types">
  <Default Extension="xml" ContentType="application/vnd.openxmlformats-officedocument.spreadsheetml.sheet.main+xml"/>
  <Default Extension="png" ContentType="image/pn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b1ae965051c46d1" /></Relationships>
</file>

<file path=xl/workbook.xml><?xml version="1.0" encoding="utf-8"?>
<x:workbook xmlns:x="http://schemas.openxmlformats.org/spreadsheetml/2006/main">
  <x:sheets>
    <x:sheet xmlns:r="http://schemas.openxmlformats.org/officeDocument/2006/relationships" name="Dashboard" sheetId="1" r:id="R5429d21c25d9409c"/>
    <x:sheet xmlns:r="http://schemas.openxmlformats.org/officeDocument/2006/relationships" name="Narrative" sheetId="2" r:id="R04e81142b0f5487f"/>
    <x:sheet xmlns:r="http://schemas.openxmlformats.org/officeDocument/2006/relationships" name="Sources" sheetId="3" r:id="R43968ccdbbb646a7"/>
    <x:sheet xmlns:r="http://schemas.openxmlformats.org/officeDocument/2006/relationships" name="Summary" sheetId="4" r:id="Re6830a34e8fa481d"/>
    <x:sheet xmlns:r="http://schemas.openxmlformats.org/officeDocument/2006/relationships" name="Raw_Returns" sheetId="5" r:id="R26c62920b60c40d1"/>
    <x:sheet xmlns:r="http://schemas.openxmlformats.org/officeDocument/2006/relationships" name="Calc" sheetId="6" r:id="R78bd76b6b4d34f6b"/>
    <x:sheet xmlns:r="http://schemas.openxmlformats.org/officeDocument/2006/relationships" name="Methodology" sheetId="7" r:id="R8dcd79e541bf45a9"/>
  </x:sheets>
</x:workbook>
</file>

<file path=xl/comments1.xml><?xml version="1.0" encoding="utf-8"?>
<x:comments xmlns:x="http://schemas.openxmlformats.org/spreadsheetml/2006/main">
  <x:authors>
    <x:author>OpenAI</x:author>
  </x:authors>
  <x:commentList>
    <x:comment ref="B4" authorId="0">
      <x:text>
        <x:r>
          <x:t>Source URL: https://portfolioslab.com/symbol/STLA</x:t>
        </x:r>
      </x:text>
    </x:comment>
    <x:comment ref="C4" authorId="0">
      <x:text>
        <x:r>
          <x:t>Source URL: https://portfolioslab.com/symbol/MBG.DE</x:t>
        </x:r>
      </x:text>
    </x:comment>
    <x:comment ref="D4" authorId="0">
      <x:text>
        <x:r>
          <x:t>Source URL: https://portfolioslab.com/symbol/1211.HK</x:t>
        </x:r>
      </x:text>
    </x:comment>
    <x:comment ref="E4" authorId="0">
      <x:text>
        <x:r>
          <x:t>Detailed source log and Reuters article URLs are listed in the 'Sources' sheet.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165" formatCode="0.0%"/>
    <x:numFmt numFmtId="166" formatCode="0.0%;[Red](0.0%)"/>
    <x:numFmt numFmtId="167" formatCode="yyyy-mm-dd h:mm:ss"/>
  </x:numFmts>
  <x:fonts count="34">
    <x:font>
      <x:sz val="11"/>
      <x:color theme="1"/>
      <x:name val="Calibri"/>
      <x:family val="2"/>
      <x:scheme val="minor"/>
    </x:font>
    <x:font>
      <x:b/>
      <x:sz val="22"/>
      <x:color rgb="00FFFFFF"/>
    </x:font>
    <x:font>
      <x:i/>
      <x:sz val="10"/>
      <x:color rgb="00475569"/>
    </x:font>
    <x:font>
      <x:b/>
      <x:sz val="12"/>
      <x:color rgb="000F172A"/>
    </x:font>
    <x:font>
      <x:b/>
      <x:color rgb="00FFFFFF"/>
    </x:font>
    <x:font>
      <x:sz val="9"/>
      <x:color rgb="00475569"/>
    </x:font>
    <x:font>
      <x:b/>
      <x:color rgb="000F172A"/>
    </x:font>
    <x:font>
      <x:i/>
      <x:sz val="9"/>
      <x:color rgb="00475569"/>
    </x:font>
    <x:font>
      <x:b/>
      <x:sz val="20"/>
      <x:color rgb="00FFFFFF"/>
    </x:font>
    <x:font>
      <x:i/>
      <x:sz val="10"/>
      <x:color rgb="00475569"/>
    </x:font>
    <x:font>
      <x:b/>
      <x:sz val="11"/>
      <x:color rgb="000F172A"/>
    </x:font>
    <x:font>
      <x:color rgb="00008000"/>
    </x:font>
    <x:font>
      <x:color rgb="000000FF"/>
    </x:font>
    <x:font>
      <x:u val="single"/>
      <x:color rgb="00008000"/>
    </x:font>
    <x:font>
      <x:color rgb="000F172A"/>
    </x:font>
    <x:font>
      <x:color rgb="00000000"/>
    </x:font>
    <x:font>
      <x:b/>
      <x:color rgb="00000000"/>
    </x:font>
    <x:font>
      <x:color rgb="007C3AED"/>
    </x:font>
    <x:font>
      <x:color rgb="00475569"/>
    </x:font>
    <x:font>
      <x:b/>
      <x:sz val="12"/>
      <x:color rgb="00FFFFFF"/>
      <x:name val="Aptos"/>
    </x:font>
    <x:font>
      <x:sz val="10"/>
      <x:color rgb="00111827"/>
      <x:name val="Aptos"/>
    </x:font>
    <x:font>
      <x:b/>
      <x:sz val="16"/>
      <x:color rgb="00FFFFFF"/>
      <x:name val="Aptos"/>
    </x:font>
    <x:font>
      <x:i/>
      <x:sz val="10"/>
      <x:color rgb="00FFFFFF"/>
      <x:name val="Aptos"/>
    </x:font>
    <x:font>
      <x:b/>
      <x:sz val="10"/>
      <x:color rgb="00111827"/>
      <x:name val="Aptos"/>
    </x:font>
    <x:font>
      <x:u val="single"/>
      <x:sz val="9"/>
      <x:color rgb="000563C1"/>
      <x:name val="Aptos"/>
    </x:font>
    <x:font>
      <x:sz val="9"/>
      <x:color rgb="00111827"/>
      <x:name val="Aptos"/>
    </x:font>
    <x:font/>
    <x:font>
      <x:b/>
      <x:sz val="16"/>
      <x:color rgb="00FFFFFF"/>
    </x:font>
    <x:font>
      <x:i/>
      <x:sz val="11"/>
      <x:color rgb="00FFFFFF"/>
    </x:font>
    <x:font>
      <x:b/>
      <x:sz val="12"/>
      <x:color rgb="00FFFFFF"/>
    </x:font>
    <x:font>
      <x:b/>
      <x:sz val="10"/>
      <x:color rgb="001F1F1F"/>
    </x:font>
    <x:font>
      <x:sz val="10"/>
      <x:color rgb="001F1F1F"/>
    </x:font>
    <x:font>
      <x:u val="single"/>
      <x:sz val="10"/>
      <x:color rgb="000563C1"/>
    </x:font>
    <x:font>
      <x:b/>
      <x:color rgb="001F1F1F"/>
    </x:font>
  </x:fonts>
  <x:fills count="22">
    <x:fill>
      <x:patternFill patternType="none"/>
    </x:fill>
    <x:fill>
      <x:patternFill patternType="gray125"/>
    </x:fill>
    <x:fill>
      <x:patternFill patternType="solid">
        <x:fgColor rgb="000F172A"/>
      </x:patternFill>
    </x:fill>
    <x:fill>
      <x:patternFill patternType="solid">
        <x:fgColor rgb="00EEF6FF"/>
      </x:patternFill>
    </x:fill>
    <x:fill>
      <x:patternFill patternType="solid">
        <x:fgColor rgb="002563EB"/>
      </x:patternFill>
    </x:fill>
    <x:fill>
      <x:patternFill patternType="solid">
        <x:fgColor rgb="00F8FAFC"/>
      </x:patternFill>
    </x:fill>
    <x:fill>
      <x:patternFill patternType="solid">
        <x:fgColor rgb="006B7280"/>
      </x:patternFill>
    </x:fill>
    <x:fill>
      <x:patternFill patternType="solid">
        <x:fgColor rgb="00DC2626"/>
      </x:patternFill>
    </x:fill>
    <x:fill>
      <x:patternFill patternType="solid">
        <x:fgColor rgb="001E293B"/>
      </x:patternFill>
    </x:fill>
    <x:fill>
      <x:patternFill patternType="solid">
        <x:fgColor rgb="000F766E"/>
      </x:patternFill>
    </x:fill>
    <x:fill>
      <x:patternFill patternType="solid">
        <x:fgColor rgb="00ECFDF5"/>
      </x:patternFill>
    </x:fill>
    <x:fill>
      <x:patternFill patternType="solid">
        <x:fgColor rgb="00FFFFFF"/>
      </x:patternFill>
    </x:fill>
    <x:fill>
      <x:patternFill patternType="solid">
        <x:fgColor rgb="007C3AED"/>
      </x:patternFill>
    </x:fill>
    <x:fill>
      <x:patternFill patternType="solid">
        <x:fgColor rgb="001F4E78"/>
      </x:patternFill>
    </x:fill>
    <x:fill>
      <x:patternFill patternType="solid">
        <x:fgColor rgb="00F4F6F8"/>
      </x:patternFill>
    </x:fill>
    <x:fill>
      <x:patternFill patternType="solid">
        <x:fgColor rgb="000F2747"/>
      </x:patternFill>
    </x:fill>
    <x:fill>
      <x:patternFill patternType="solid">
        <x:fgColor rgb="00EAF1FB"/>
      </x:patternFill>
    </x:fill>
    <x:fill>
      <x:patternFill patternType="solid">
        <x:fgColor rgb="00D9F0EF"/>
      </x:patternFill>
    </x:fill>
    <x:fill>
      <x:patternFill patternType="solid">
        <x:fgColor rgb="000F2E4E"/>
      </x:patternFill>
    </x:fill>
    <x:fill>
      <x:patternFill patternType="solid">
        <x:fgColor rgb="00D9EAF7"/>
      </x:patternFill>
    </x:fill>
    <x:fill>
      <x:patternFill patternType="solid">
        <x:fgColor rgb="00EEF5FB"/>
      </x:patternFill>
    </x:fill>
    <x:fill>
      <x:patternFill patternType="solid">
        <x:fgColor rgb="00E7F3F1"/>
      </x:patternFill>
    </x:fill>
  </x:fills>
  <x:borders count="31">
    <x:border>
      <x:left/>
      <x:right/>
      <x:top/>
      <x:bottom/>
      <x:diagonal/>
    </x:border>
    <x:border>
      <x:left style="thin">
        <x:color rgb="00E2E8F0"/>
      </x:left>
      <x:right style="thin">
        <x:color rgb="00E2E8F0"/>
      </x:right>
      <x:top style="thin">
        <x:color rgb="00E2E8F0"/>
      </x:top>
      <x:bottom style="thin">
        <x:color rgb="00E2E8F0"/>
      </x:bottom>
    </x:border>
    <x:border>
      <x:bottom style="medium">
        <x:color rgb="00FFFFFF"/>
      </x:bottom>
    </x:border>
    <x:border>
      <x:bottom style="thin">
        <x:color rgb="00E2E8F0"/>
      </x:bottom>
    </x:border>
    <x:border>
      <x:left/>
      <x:right/>
      <x:top style="thin">
        <x:color rgb="00E2E8F0"/>
      </x:top>
      <x:bottom/>
      <x:diagonal/>
    </x:border>
    <x:border>
      <x:left style="thin">
        <x:color rgb="00E2E8F0"/>
      </x:left>
      <x:right/>
      <x:top/>
      <x:bottom/>
      <x:diagonal/>
    </x:border>
    <x:border>
      <x:left/>
      <x:right style="thin">
        <x:color rgb="00E2E8F0"/>
      </x:right>
      <x:top style="thin">
        <x:color rgb="00E2E8F0"/>
      </x:top>
      <x:bottom/>
      <x:diagonal/>
    </x:border>
    <x:border>
      <x:left/>
      <x:right style="thin">
        <x:color rgb="00E2E8F0"/>
      </x:right>
      <x:top/>
      <x:bottom/>
      <x:diagonal/>
    </x:border>
    <x:border>
      <x:left style="thin">
        <x:color rgb="00E2E8F0"/>
      </x:left>
      <x:right/>
      <x:top/>
      <x:bottom style="thin">
        <x:color rgb="00E2E8F0"/>
      </x:bottom>
      <x:diagonal/>
    </x:border>
    <x:border>
      <x:left/>
      <x:right/>
      <x:top/>
      <x:bottom style="thin">
        <x:color rgb="00E2E8F0"/>
      </x:bottom>
      <x:diagonal/>
    </x:border>
    <x:border>
      <x:left/>
      <x:right style="thin">
        <x:color rgb="00E2E8F0"/>
      </x:right>
      <x:top/>
      <x:bottom style="thin">
        <x:color rgb="00E2E8F0"/>
      </x:bottom>
      <x:diagonal/>
    </x:border>
    <x:border>
      <x:top style="medium">
        <x:color rgb="001F4E78"/>
      </x:top>
      <x:bottom style="medium">
        <x:color rgb="001F4E78"/>
      </x:bottom>
    </x:border>
    <x:border>
      <x:left style="thin">
        <x:color rgb="00D0D7DE"/>
      </x:left>
      <x:right style="thin">
        <x:color rgb="00D0D7DE"/>
      </x:right>
      <x:top style="thin">
        <x:color rgb="00D0D7DE"/>
      </x:top>
      <x:bottom style="thin">
        <x:color rgb="00D0D7DE"/>
      </x:bottom>
    </x:border>
    <x:border>
      <x:left/>
      <x:right/>
      <x:top style="medium">
        <x:color rgb="001F4E78"/>
      </x:top>
      <x:bottom/>
      <x:diagonal/>
    </x:border>
    <x:border>
      <x:left/>
      <x:right/>
      <x:top style="medium">
        <x:color rgb="001F4E78"/>
      </x:top>
      <x:bottom style="medium">
        <x:color rgb="001F4E78"/>
      </x:bottom>
      <x:diagonal/>
    </x:border>
    <x:border>
      <x:left/>
      <x:right/>
      <x:top style="thin">
        <x:color rgb="00D0D7DE"/>
      </x:top>
      <x:bottom/>
      <x:diagonal/>
    </x:border>
    <x:border>
      <x:left style="thin">
        <x:color rgb="00D0D7DE"/>
      </x:left>
      <x:right/>
      <x:top/>
      <x:bottom/>
      <x:diagonal/>
    </x:border>
    <x:border>
      <x:left/>
      <x:right style="thin">
        <x:color rgb="00D0D7DE"/>
      </x:right>
      <x:top style="thin">
        <x:color rgb="00D0D7DE"/>
      </x:top>
      <x:bottom/>
      <x:diagonal/>
    </x:border>
    <x:border>
      <x:left/>
      <x:right style="thin">
        <x:color rgb="00D0D7DE"/>
      </x:right>
      <x:top/>
      <x:bottom/>
      <x:diagonal/>
    </x:border>
    <x:border>
      <x:left style="thin">
        <x:color rgb="00D0D7DE"/>
      </x:left>
      <x:right/>
      <x:top/>
      <x:bottom style="thin">
        <x:color rgb="00D0D7DE"/>
      </x:bottom>
      <x:diagonal/>
    </x:border>
    <x:border>
      <x:left/>
      <x:right/>
      <x:top/>
      <x:bottom style="thin">
        <x:color rgb="00D0D7DE"/>
      </x:bottom>
      <x:diagonal/>
    </x:border>
    <x:border>
      <x:left/>
      <x:right style="thin">
        <x:color rgb="00D0D7DE"/>
      </x:right>
      <x:top/>
      <x:bottom style="thin">
        <x:color rgb="00D0D7DE"/>
      </x:bottom>
      <x:diagonal/>
    </x:border>
    <x:border>
      <x:left/>
      <x:right/>
      <x:top style="thin">
        <x:color rgb="00D0D7DE"/>
      </x:top>
      <x:bottom style="thin">
        <x:color rgb="00D0D7DE"/>
      </x:bottom>
      <x:diagonal/>
    </x:border>
    <x:border>
      <x:left/>
      <x:right style="thin">
        <x:color rgb="00D0D7DE"/>
      </x:right>
      <x:top style="thin">
        <x:color rgb="00D0D7DE"/>
      </x:top>
      <x:bottom style="thin">
        <x:color rgb="00D0D7DE"/>
      </x:bottom>
      <x:diagonal/>
    </x:border>
    <x:border/>
    <x:border>
      <x:left style="thin">
        <x:color rgb="009FBAD0"/>
      </x:left>
      <x:right style="thin">
        <x:color rgb="009FBAD0"/>
      </x:right>
      <x:top style="thin">
        <x:color rgb="009FBAD0"/>
      </x:top>
      <x:bottom style="thin">
        <x:color rgb="009FBAD0"/>
      </x:bottom>
    </x:border>
    <x:border>
      <x:right/>
      <x:top style="medium">
        <x:color rgb="001F4E78"/>
      </x:top>
      <x:bottom style="medium">
        <x:color rgb="001F4E78"/>
      </x:bottom>
    </x:border>
    <x:border>
      <x:left/>
      <x:right/>
      <x:top style="thin">
        <x:color rgb="009FBAD0"/>
      </x:top>
      <x:bottom/>
      <x:diagonal/>
    </x:border>
    <x:border>
      <x:left/>
      <x:right style="thin">
        <x:color rgb="009FBAD0"/>
      </x:right>
      <x:top style="thin">
        <x:color rgb="009FBAD0"/>
      </x:top>
      <x:bottom/>
      <x:diagonal/>
    </x:border>
    <x:border>
      <x:left/>
      <x:right/>
      <x:top style="thin">
        <x:color rgb="009FBAD0"/>
      </x:top>
      <x:bottom style="thin">
        <x:color rgb="009FBAD0"/>
      </x:bottom>
      <x:diagonal/>
    </x:border>
    <x:border>
      <x:left/>
      <x:right style="thin">
        <x:color rgb="009FBAD0"/>
      </x:right>
      <x:top style="thin">
        <x:color rgb="009FBAD0"/>
      </x:top>
      <x:bottom style="thin">
        <x:color rgb="009FBAD0"/>
      </x:bottom>
      <x:diagonal/>
    </x:border>
  </x:borders>
  <x:cellStyleXfs count="1">
    <x:xf numFmtId="0" fontId="0" fillId="0" borderId="0"/>
  </x:cellStyleXfs>
  <x:cellXfs count="91">
    <x:xf numFmtId="0" fontId="0" fillId="0" borderId="0" xfId="0"/>
    <x:xf numFmtId="0" fontId="1" fillId="2" borderId="0" xfId="0" applyAlignment="1">
      <x:alignment horizontal="left" vertical="center"/>
    </x:xf>
    <x:xf numFmtId="0" fontId="2" fillId="0" borderId="0" xfId="0"/>
    <x:xf numFmtId="0" fontId="3" fillId="3" borderId="1" xfId="0" applyAlignment="1">
      <x:alignment vertical="top" wrapText="1"/>
    </x:xf>
    <x:xf numFmtId="0" fontId="0" fillId="0" borderId="1" xfId="0"/>
    <x:xf numFmtId="0" fontId="4" fillId="4" borderId="0" xfId="0" applyAlignment="1">
      <x:alignment horizontal="center"/>
    </x:xf>
    <x:xf numFmtId="0" fontId="4" fillId="6" borderId="0" xfId="0" applyAlignment="1">
      <x:alignment horizontal="center"/>
    </x:xf>
    <x:xf numFmtId="0" fontId="4" fillId="7" borderId="0" xfId="0" applyAlignment="1">
      <x:alignment horizontal="center"/>
    </x:xf>
    <x:xf numFmtId="0" fontId="5" fillId="5" borderId="1" xfId="0"/>
    <x:xf numFmtId="164" fontId="6" fillId="5" borderId="1" xfId="0" applyAlignment="1">
      <x:alignment horizontal="right"/>
    </x:xf>
    <x:xf numFmtId="165" fontId="6" fillId="5" borderId="1" xfId="0" applyAlignment="1">
      <x:alignment horizontal="right"/>
    </x:xf>
    <x:xf numFmtId="0" fontId="7" fillId="0" borderId="0" xfId="0"/>
    <x:xf numFmtId="0" fontId="8" fillId="2" borderId="0" xfId="0" applyAlignment="1">
      <x:alignment horizontal="left" vertical="center"/>
    </x:xf>
    <x:xf numFmtId="0" fontId="9" fillId="0" borderId="0" xfId="0"/>
    <x:xf numFmtId="0" fontId="4" fillId="8" borderId="2" xfId="0" applyAlignment="1">
      <x:alignment horizontal="center" vertical="center" wrapText="1"/>
    </x:xf>
    <x:xf numFmtId="0" fontId="6" fillId="0" borderId="3" xfId="0" applyAlignment="1">
      <x:alignment vertical="top" wrapText="1"/>
    </x:xf>
    <x:xf numFmtId="164" fontId="0" fillId="5" borderId="3" xfId="0" applyAlignment="1">
      <x:alignment vertical="top" wrapText="1"/>
    </x:xf>
    <x:xf numFmtId="0" fontId="0" fillId="5" borderId="3" xfId="0" applyAlignment="1">
      <x:alignment vertical="top" wrapText="1"/>
    </x:xf>
    <x:xf numFmtId="166" fontId="0" fillId="0" borderId="3" xfId="0" applyAlignment="1">
      <x:alignment horizontal="right"/>
    </x:xf>
    <x:xf numFmtId="0" fontId="0" fillId="0" borderId="3" xfId="0" applyAlignment="1">
      <x:alignment vertical="top" wrapText="1"/>
    </x:xf>
    <x:xf numFmtId="0" fontId="4" fillId="9" borderId="0" xfId="0"/>
    <x:xf numFmtId="0" fontId="10" fillId="10" borderId="0" xfId="0" applyAlignment="1">
      <x:alignment vertical="top" wrapText="1"/>
    </x:xf>
    <x:xf numFmtId="0" fontId="4" fillId="8" borderId="2" xfId="0" applyAlignment="1">
      <x:alignment horizontal="center" wrapText="1"/>
    </x:xf>
    <x:xf numFmtId="17" fontId="0" fillId="0" borderId="3" xfId="0"/>
    <x:xf numFmtId="166" fontId="12" fillId="5" borderId="3" xfId="0" applyAlignment="1">
      <x:alignment horizontal="right"/>
    </x:xf>
    <x:xf numFmtId="0" fontId="11" fillId="0" borderId="3" xfId="0"/>
    <x:xf numFmtId="0" fontId="13" fillId="0" borderId="0" xfId="0"/>
    <x:xf numFmtId="0" fontId="4" fillId="8" borderId="0" xfId="0" applyAlignment="1">
      <x:alignment horizontal="center"/>
    </x:xf>
    <x:xf numFmtId="167" fontId="14" fillId="0" borderId="0" xfId="0"/>
    <x:xf numFmtId="164" fontId="6" fillId="0" borderId="0" xfId="0"/>
    <x:xf numFmtId="166" fontId="14" fillId="0" borderId="0" xfId="0"/>
    <x:xf numFmtId="0" fontId="6" fillId="5" borderId="0" xfId="0"/>
    <x:xf numFmtId="164" fontId="16" fillId="11" borderId="3" xfId="0" applyAlignment="1">
      <x:alignment horizontal="right"/>
    </x:xf>
    <x:xf numFmtId="164" fontId="15" fillId="0" borderId="3" xfId="0" applyAlignment="1">
      <x:alignment horizontal="right"/>
    </x:xf>
    <x:xf numFmtId="166" fontId="15" fillId="0" borderId="3" xfId="0" applyAlignment="1">
      <x:alignment horizontal="right"/>
    </x:xf>
    <x:xf numFmtId="0" fontId="14" fillId="5" borderId="0" xfId="0"/>
    <x:xf numFmtId="166" fontId="15" fillId="11" borderId="3" xfId="0" applyAlignment="1">
      <x:alignment horizontal="right"/>
    </x:xf>
    <x:xf numFmtId="0" fontId="4" fillId="12" borderId="0" xfId="0"/>
    <x:xf numFmtId="0" fontId="17" fillId="5" borderId="0" xfId="0" applyAlignment="1">
      <x:alignment wrapText="1"/>
    </x:xf>
    <x:xf numFmtId="0" fontId="18" fillId="5" borderId="0" xfId="0" applyAlignment="1">
      <x:alignment wrapText="1"/>
    </x:xf>
    <x:xf numFmtId="0" fontId="4" fillId="8" borderId="0" xfId="0"/>
    <x:xf numFmtId="0" fontId="6" fillId="5" borderId="3" xfId="0"/>
    <x:xf numFmtId="0" fontId="0" fillId="0" borderId="4" xfId="0"/>
    <x:xf numFmtId="0" fontId="0" fillId="0" borderId="6" xfId="0"/>
    <x:xf numFmtId="0" fontId="0" fillId="0" borderId="5" xfId="0"/>
    <x:xf numFmtId="0" fontId="0" fillId="0" borderId="7" xfId="0"/>
    <x:xf numFmtId="166" fontId="6" fillId="5" borderId="1" xfId="0" applyAlignment="1">
      <x:alignment horizontal="right"/>
    </x:xf>
    <x:xf numFmtId="0" fontId="0" fillId="0" borderId="8" xfId="0"/>
    <x:xf numFmtId="0" fontId="0" fillId="0" borderId="9" xfId="0"/>
    <x:xf numFmtId="0" fontId="0" fillId="0" borderId="10" xfId="0"/>
    <x:xf numFmtId="0" fontId="19" fillId="13" borderId="11" xfId="0" applyAlignment="1">
      <x:alignment horizontal="left" vertical="center"/>
    </x:xf>
    <x:xf numFmtId="0" fontId="0" fillId="0" borderId="11" xfId="0"/>
    <x:xf numFmtId="0" fontId="20" fillId="14" borderId="12" xfId="0" applyAlignment="1">
      <x:alignment vertical="top" wrapText="1"/>
    </x:xf>
    <x:xf numFmtId="0" fontId="0" fillId="14" borderId="12" xfId="0"/>
    <x:xf numFmtId="0" fontId="21" fillId="15" borderId="12" xfId="0" applyAlignment="1">
      <x:alignment horizontal="left" vertical="center"/>
    </x:xf>
    <x:xf numFmtId="0" fontId="0" fillId="0" borderId="12" xfId="0"/>
    <x:xf numFmtId="0" fontId="22" fillId="15" borderId="12" xfId="0" applyAlignment="1">
      <x:alignment horizontal="left" vertical="center"/>
    </x:xf>
    <x:xf numFmtId="0" fontId="19" fillId="13" borderId="12" xfId="0" applyAlignment="1">
      <x:alignment horizontal="left" vertical="center"/>
    </x:xf>
    <x:xf numFmtId="0" fontId="23" fillId="16" borderId="12" xfId="0" applyAlignment="1">
      <x:alignment horizontal="left" vertical="top" wrapText="1"/>
    </x:xf>
    <x:xf numFmtId="0" fontId="0" fillId="16" borderId="12" xfId="0"/>
    <x:xf numFmtId="0" fontId="20" fillId="0" borderId="12" xfId="0" applyAlignment="1">
      <x:alignment vertical="top" wrapText="1"/>
    </x:xf>
    <x:xf numFmtId="0" fontId="24" fillId="17" borderId="12" xfId="0" applyAlignment="1">
      <x:alignment vertical="top" wrapText="1"/>
    </x:xf>
    <x:xf numFmtId="0" fontId="0" fillId="17" borderId="12" xfId="0"/>
    <x:xf numFmtId="0" fontId="25" fillId="17" borderId="12" xfId="0" applyAlignment="1">
      <x:alignment vertical="top" wrapText="1"/>
    </x:xf>
    <x:xf numFmtId="0" fontId="19" fillId="13" borderId="12" xfId="0" applyAlignment="1">
      <x:alignment horizontal="center" vertical="center"/>
    </x:xf>
    <x:xf numFmtId="0" fontId="20" fillId="11" borderId="12" xfId="0" applyAlignment="1">
      <x:alignment vertical="top" wrapText="1"/>
    </x:xf>
    <x:xf numFmtId="0" fontId="24" fillId="11" borderId="12" xfId="0" applyAlignment="1">
      <x:alignment vertical="top" wrapText="1"/>
    </x:xf>
    <x:xf numFmtId="0" fontId="24" fillId="14" borderId="12" xfId="0" applyAlignment="1">
      <x:alignment vertical="top" wrapText="1"/>
    </x:xf>
    <x:xf numFmtId="0" fontId="23" fillId="16" borderId="12" xfId="0" applyAlignment="1">
      <x:alignment vertical="top" wrapText="1"/>
    </x:xf>
    <x:xf numFmtId="0" fontId="0" fillId="0" borderId="14" xfId="0"/>
    <x:xf numFmtId="0" fontId="0" fillId="0" borderId="15" xfId="0"/>
    <x:xf numFmtId="0" fontId="0" fillId="0" borderId="17" xfId="0"/>
    <x:xf numFmtId="0" fontId="0" fillId="0" borderId="16" xfId="0"/>
    <x:xf numFmtId="0" fontId="0" fillId="0" borderId="18" xfId="0"/>
    <x:xf numFmtId="0" fontId="0" fillId="0" borderId="19" xfId="0"/>
    <x:xf numFmtId="0" fontId="0" fillId="0" borderId="20" xfId="0"/>
    <x:xf numFmtId="0" fontId="0" fillId="0" borderId="21" xfId="0"/>
    <x:xf numFmtId="0" fontId="27" fillId="18" borderId="25" xfId="0" applyAlignment="1">
      <x:alignment horizontal="left" vertical="center"/>
    </x:xf>
    <x:xf numFmtId="0" fontId="0" fillId="0" borderId="25" xfId="0"/>
    <x:xf numFmtId="0" fontId="28" fillId="13" borderId="25" xfId="0" applyAlignment="1">
      <x:alignment horizontal="left" vertical="center" wrapText="1"/>
    </x:xf>
    <x:xf numFmtId="0" fontId="29" fillId="13" borderId="25" xfId="0" applyAlignment="1">
      <x:alignment horizontal="left" vertical="center"/>
    </x:xf>
    <x:xf numFmtId="0" fontId="30" fillId="19" borderId="25" xfId="0" applyAlignment="1">
      <x:alignment horizontal="left" vertical="center"/>
    </x:xf>
    <x:xf numFmtId="0" fontId="30" fillId="20" borderId="25" xfId="0" applyAlignment="1">
      <x:alignment horizontal="left" vertical="top" wrapText="1"/>
    </x:xf>
    <x:xf numFmtId="0" fontId="31" fillId="14" borderId="25" xfId="0" applyAlignment="1">
      <x:alignment horizontal="left" vertical="top" wrapText="1"/>
    </x:xf>
    <x:xf numFmtId="0" fontId="32" fillId="21" borderId="25" xfId="0" applyAlignment="1">
      <x:alignment horizontal="left" vertical="top" wrapText="1"/>
    </x:xf>
    <x:xf numFmtId="0" fontId="26" fillId="0" borderId="24" xfId="0"/>
    <x:xf numFmtId="0" fontId="0" fillId="0" borderId="22" xfId="0"/>
    <x:xf numFmtId="0" fontId="0" fillId="0" borderId="23" xfId="0"/>
    <x:xf numFmtId="0" fontId="33" fillId="19" borderId="0" xfId="0"/>
    <x:xf numFmtId="0" fontId="0" fillId="0" borderId="29" xfId="0"/>
    <x:xf numFmtId="0" fontId="0" fillId="0" borderId="3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ac12fd1b0d4139" /><Relationship Type="http://schemas.openxmlformats.org/officeDocument/2006/relationships/theme" Target="/xl/theme/theme1.xml" Id="Rdc2cf19074d54c71" /><Relationship Type="http://schemas.openxmlformats.org/officeDocument/2006/relationships/sharedStrings" Target="/xl/sharedStrings.xml" Id="R250f2b092d624ec0" /><Relationship Type="http://schemas.openxmlformats.org/officeDocument/2006/relationships/worksheet" Target="/xl/worksheets/sheet1.xml" Id="R5429d21c25d9409c" /><Relationship Type="http://schemas.openxmlformats.org/officeDocument/2006/relationships/worksheet" Target="/xl/worksheets/sheet2.xml" Id="R04e81142b0f5487f" /><Relationship Type="http://schemas.openxmlformats.org/officeDocument/2006/relationships/worksheet" Target="/xl/worksheets/sheet3.xml" Id="R43968ccdbbb646a7" /><Relationship Type="http://schemas.openxmlformats.org/officeDocument/2006/relationships/worksheet" Target="/xl/worksheets/sheet4.xml" Id="Re6830a34e8fa481d" /><Relationship Type="http://schemas.openxmlformats.org/officeDocument/2006/relationships/worksheet" Target="/xl/worksheets/sheet5.xml" Id="R26c62920b60c40d1" /><Relationship Type="http://schemas.openxmlformats.org/officeDocument/2006/relationships/worksheet" Target="/xl/worksheets/sheet6.xml" Id="R78bd76b6b4d34f6b" /><Relationship Type="http://schemas.openxmlformats.org/officeDocument/2006/relationships/worksheet" Target="/xl/worksheets/sheet7.xml" Id="R8dcd79e541bf45a9" /><Relationship Type="http://schemas.microsoft.com/office/2017/10/relationships/person" Target="/xl/persons/person.xml" Id="R66914c1ad55b4900" /></Relationships>
</file>

<file path=xl/drawings/_rels/drawing1.xml.rels>&#65279;<?xml version="1.0" encoding="utf-8"?><Relationships xmlns="http://schemas.openxmlformats.org/package/2006/relationships"><Relationship Type="http://schemas.openxmlformats.org/officeDocument/2006/relationships/image" Target="/xl/media/image.png" Id="Rceca84fe115b4edc" /><Relationship Type="http://schemas.openxmlformats.org/officeDocument/2006/relationships/image" Target="/xl/media/image2.png" Id="R7d5bee593dc34019" /><Relationship Type="http://schemas.openxmlformats.org/officeDocument/2006/relationships/image" Target="/xl/media/image3.png" Id="R1db276fea1204fb1" /></Relationships>
</file>

<file path=xl/drawings/drawing1.xml><?xml version="1.0" encoding="utf-8"?>
<xdr:wsDr xmlns:xdr="http://schemas.openxmlformats.org/drawingml/2006/spreadsheetDrawing">
  <xdr:oneCellAnchor>
    <xdr:from>
      <xdr:col>0</xdr:col>
      <xdr:colOff>0</xdr:colOff>
      <xdr:row>9</xdr:row>
      <xdr:rowOff>0</xdr:rowOff>
    </xdr:from>
    <xdr:ext cx="9906000" cy="447675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ceca84fe115b4ed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31</xdr:row>
      <xdr:rowOff>0</xdr:rowOff>
    </xdr:from>
    <xdr:ext cx="5334000" cy="228600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7d5bee593dc34019"/>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31</xdr:row>
      <xdr:rowOff>0</xdr:rowOff>
    </xdr:from>
    <xdr:ext cx="5334000" cy="314325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1db276fea1204fb1"/>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OpenAI" id="{496A5B63-6CF8-52A7-36A4-452E085370BB}"/>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e9dd47ecc7d40db" /></Relationships>
</file>

<file path=xl/worksheets/_rels/sheet5.xml.rels>&#65279;<?xml version="1.0" encoding="utf-8"?><Relationships xmlns="http://schemas.openxmlformats.org/package/2006/relationships"><Relationship Type="http://schemas.openxmlformats.org/officeDocument/2006/relationships/comments" Target="/xl/comments1.xml" Id="Rb4fa100cecff4e59" /><Relationship Type="http://schemas.openxmlformats.org/officeDocument/2006/relationships/vmlDrawing" Target="/xl/drawings/vmldrawing.vml" Id="Rb1ebdba7122f461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12" customWidth="1"/>
    <x:col min="3" max="3" width="12" customWidth="1"/>
    <x:col min="4" max="4" width="12" customWidth="1"/>
    <x:col min="5" max="5" width="12" customWidth="1"/>
    <x:col min="6" max="6" width="12" customWidth="1"/>
    <x:col min="7" max="7" width="12" customWidth="1"/>
    <x:col min="8" max="8" width="12" customWidth="1"/>
    <x:col min="9" max="9" width="12" customWidth="1"/>
    <x:col min="10" max="10" width="12" customWidth="1"/>
    <x:col min="11" max="11" width="12" customWidth="1"/>
    <x:col min="12" max="12" width="12" customWidth="1"/>
    <x:col min="13" max="13" width="12" customWidth="1"/>
    <x:col min="14" max="14" width="12" customWidth="1"/>
  </x:cols>
  <x:sheetData>
    <x:row r="1" ht="22" customHeight="1">
      <x:c r="A1" s="1" t="inlineStr">
        <x:is>
          <x:t xml:space="preserve">Share Price Analysis Dashboard</x:t>
        </x:is>
      </x:c>
    </x:row>
    <x:row r="2" ht="22" customHeight="1"/>
    <x:row r="3" ht="22" customHeight="1">
      <x:c r="A3" s="2" t="inlineStr">
        <x:is>
          <x:t xml:space="preserve">Stellantis vs Mercedes-Benz vs BYD | Monthly returns transformed into indexed performance, return snapshots, and risk/return positioning</x:t>
        </x:is>
      </x:c>
    </x:row>
    <x:row r="4" ht="22" customHeight="1"/>
    <x:row r="5" ht="22" customHeight="1">
      <x:c r="A5" s="3" t="inlineStr">
        <x:is>
          <x:t xml:space="preserve">Key takeaway
BYD is the long-run winner, Mercedes-Benz is the most resilient incumbent, and Stellantis has the weakest recent and multi-year share-price profile.</x:t>
        </x:is>
      </x:c>
      <x:c r="B5" s="42" t="n"/>
      <x:c r="C5" s="42" t="n"/>
      <x:c r="D5" s="42" t="n"/>
      <x:c r="E5" s="42" t="n"/>
      <x:c r="F5" s="42" t="n"/>
      <x:c r="G5" s="42" t="n"/>
      <x:c r="H5" s="43" t="n"/>
      <x:c r="I5" s="5" t="inlineStr">
        <x:is>
          <x:t xml:space="preserve">Stellantis</x:t>
        </x:is>
      </x:c>
      <x:c r="K5" s="6" t="inlineStr">
        <x:is>
          <x:t xml:space="preserve">Mercedes-Benz</x:t>
        </x:is>
      </x:c>
      <x:c r="M5" s="7" t="inlineStr">
        <x:is>
          <x:t xml:space="preserve">BYD</x:t>
        </x:is>
      </x:c>
    </x:row>
    <x:row r="6" ht="22" customHeight="1">
      <x:c r="A6" s="44" t="n"/>
      <x:c r="H6" s="45" t="n"/>
      <x:c r="I6" s="8" t="inlineStr">
        <x:is>
          <x:t xml:space="preserve">Index level</x:t>
        </x:is>
      </x:c>
      <x:c r="J6" s="9">
        <x:f>Summary!B6</x:f>
        <x:v>70.01946836858056</x:v>
      </x:c>
      <x:c r="K6" s="8" t="inlineStr">
        <x:is>
          <x:t xml:space="preserve">Index level</x:t>
        </x:is>
      </x:c>
      <x:c r="L6" s="9">
        <x:f>Summary!B7</x:f>
        <x:v>156.3787634170138</x:v>
      </x:c>
      <x:c r="M6" s="8" t="inlineStr">
        <x:is>
          <x:t xml:space="preserve">Index level</x:t>
        </x:is>
      </x:c>
      <x:c r="N6" s="9">
        <x:f>Summary!B8</x:f>
        <x:v>166.5758032800339</x:v>
      </x:c>
    </x:row>
    <x:row r="7" ht="22" customHeight="1">
      <x:c r="A7" s="44" t="n"/>
      <x:c r="H7" s="45" t="n"/>
      <x:c r="I7" s="8" t="inlineStr">
        <x:is>
          <x:t xml:space="preserve">5Y CAGR</x:t>
        </x:is>
      </x:c>
      <x:c r="J7" s="46">
        <x:f>Summary!G6</x:f>
        <x:v>-0.06858628731941918</x:v>
      </x:c>
      <x:c r="K7" s="8" t="inlineStr">
        <x:is>
          <x:t xml:space="preserve">5Y CAGR</x:t>
        </x:is>
      </x:c>
      <x:c r="L7" s="46">
        <x:f>Summary!G7</x:f>
        <x:v>0.03692726659582202</x:v>
      </x:c>
      <x:c r="M7" s="8" t="inlineStr">
        <x:is>
          <x:t xml:space="preserve">5Y CAGR</x:t>
        </x:is>
      </x:c>
      <x:c r="N7" s="46">
        <x:f>Summary!G8</x:f>
        <x:v>0.16123052778043245</x:v>
      </x:c>
    </x:row>
    <x:row r="8" ht="22" customHeight="1">
      <x:c r="A8" s="47" t="n"/>
      <x:c r="B8" s="48" t="n"/>
      <x:c r="C8" s="48" t="n"/>
      <x:c r="D8" s="48" t="n"/>
      <x:c r="E8" s="48" t="n"/>
      <x:c r="F8" s="48" t="n"/>
      <x:c r="G8" s="48" t="n"/>
      <x:c r="H8" s="49" t="n"/>
      <x:c r="I8" s="8" t="inlineStr">
        <x:is>
          <x:t xml:space="preserve">1Y vol</x:t>
        </x:is>
      </x:c>
      <x:c r="J8" s="46">
        <x:f>Summary!H6</x:f>
        <x:v>0.3370547514196253</x:v>
      </x:c>
      <x:c r="K8" s="8" t="inlineStr">
        <x:is>
          <x:t xml:space="preserve">1Y vol</x:t>
        </x:is>
      </x:c>
      <x:c r="L8" s="46">
        <x:f>Summary!H7</x:f>
        <x:v>0.19389351107338182</x:v>
      </x:c>
      <x:c r="M8" s="8" t="inlineStr">
        <x:is>
          <x:t xml:space="preserve">1Y vol</x:t>
        </x:is>
      </x:c>
      <x:c r="N8" s="46">
        <x:f>Summary!H8</x:f>
        <x:v>0.18817997913023196</x:v>
      </x:c>
    </x:row>
    <x:row r="9" ht="22" customHeight="1"/>
    <x:row r="10" ht="22" customHeight="1"/>
    <x:row r="11" ht="22" customHeight="1"/>
    <x:row r="12" ht="22" customHeight="1"/>
    <x:row r="13" ht="22" customHeight="1"/>
    <x:row r="14" ht="22" customHeight="1"/>
    <x:row r="15" ht="22" customHeight="1"/>
    <x:row r="16" ht="22" customHeight="1"/>
    <x:row r="17" ht="22" customHeight="1"/>
    <x:row r="18" ht="22" customHeight="1"/>
    <x:row r="19" ht="22" customHeight="1"/>
    <x:row r="20" ht="22" customHeight="1"/>
    <x:row r="21" ht="22" customHeight="1"/>
    <x:row r="22" ht="22" customHeight="1"/>
    <x:row r="23" ht="22" customHeight="1"/>
    <x:row r="24" ht="22" customHeight="1"/>
    <x:row r="25" ht="22" customHeight="1"/>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sheetData>
  <x:mergeCells>
    <x:mergeCell ref="A1:N2"/>
    <x:mergeCell ref="A3:N3"/>
    <x:mergeCell ref="A5:H8"/>
    <x:mergeCell ref="K5:L5"/>
    <x:mergeCell ref="I5:J5"/>
    <x:mergeCell ref="M5:N5"/>
  </x:mergeCells>
  <x:pageMargins left="0.7" right="0.7" top="0.75" bottom="0.75" header="0.3" footer="0.3"/>
  <x:drawing xmlns:r="http://schemas.openxmlformats.org/officeDocument/2006/relationships" r:id="Rce9dd47ecc7d40db"/>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14" customWidth="1"/>
    <x:col min="3" max="3" width="14" customWidth="1"/>
    <x:col min="4" max="4" width="14" customWidth="1"/>
    <x:col min="5" max="5" width="14" customWidth="1"/>
    <x:col min="6" max="6" width="14" customWidth="1"/>
    <x:col min="7" max="7" width="18" customWidth="1"/>
    <x:col min="8" max="8" width="18" customWidth="1"/>
    <x:col min="9" max="9" width="18" customWidth="1"/>
    <x:col min="10" max="10" width="18" customWidth="1"/>
  </x:cols>
  <x:sheetData>
    <x:row r="1">
      <x:c r="A1" s="77" t="inlineStr">
        <x:is>
          <x:t xml:space="preserve">Share Price Analysis – Narrative Outputs</x:t>
        </x:is>
      </x:c>
      <x:c r="B1" s="89" t="n"/>
      <x:c r="C1" s="89" t="n"/>
      <x:c r="D1" s="89" t="n"/>
      <x:c r="E1" s="89" t="n"/>
      <x:c r="F1" s="89" t="n"/>
      <x:c r="G1" s="89" t="n"/>
      <x:c r="H1" s="89" t="n"/>
      <x:c r="I1" s="89" t="n"/>
      <x:c r="J1" s="90" t="n"/>
    </x:row>
    <x:row r="2"/>
    <x:row r="3" ht="24" customHeight="1">
      <x:c r="A3" s="80" t="inlineStr">
        <x:is>
          <x:t xml:space="preserve">1. Volatility comments</x:t>
        </x:is>
      </x:c>
      <x:c r="B3" s="89" t="n"/>
      <x:c r="C3" s="89" t="n"/>
      <x:c r="D3" s="89" t="n"/>
      <x:c r="E3" s="89" t="n"/>
      <x:c r="F3" s="89" t="n"/>
      <x:c r="G3" s="89" t="n"/>
      <x:c r="H3" s="89" t="n"/>
      <x:c r="I3" s="89" t="n"/>
      <x:c r="J3" s="90" t="n"/>
    </x:row>
    <x:row r="4" ht="20" customHeight="1">
      <x:c r="A4" s="81" t="inlineStr">
        <x:is>
          <x:t xml:space="preserve">Topic / company</x:t>
        </x:is>
      </x:c>
    </x:row>
    <x:row r="5" ht="62" customHeight="1">
      <x:c r="A5" s="82" t="inlineStr">
        <x:is>
          <x:t xml:space="preserve">Stellantis</x:t>
        </x:is>
      </x:c>
      <x:c r="B5" s="83" t="inlineStr">
        <x:is>
          <x:t xml:space="preserve">Stellantis shows the highest risk profile in our analysis. The stock behaves like a high-beta cyclical: it benefits when the merger, synergy and cash-generation story is credible, but it de-rates sharply when inventory, pricing and margin concerns resurface. The 2024 sell-off reflects weaker North American execution, production cuts and a profit warning.</x:t>
        </x:is>
      </x:c>
      <x:c r="C5" s="89" t="n"/>
      <x:c r="D5" s="89" t="n"/>
      <x:c r="E5" s="89" t="n"/>
      <x:c r="F5" s="90" t="n"/>
      <x:c r="G5" s="84" t="inlineStr">
        <x:is>
          <x:t xml:space="preserve">https://portfolioslab.com/symbol/STLA
https://www.reuters.com/business/autos-transportation/stellantis-says-fy-operating-profit-margin-tops-target-2022-02-23/
https://www.reuters.com/business/autos-transportation/renault-stellantis-shares-rally-investors-cheer-cash-haul-2024-02-15/</x:t>
        </x:is>
      </x:c>
      <x:c r="H5" s="89" t="n"/>
      <x:c r="I5" s="89" t="n"/>
      <x:c r="J5" s="90" t="n"/>
    </x:row>
    <x:row r="6" ht="62" customHeight="1">
      <x:c r="A6" s="82" t="inlineStr">
        <x:is>
          <x:t xml:space="preserve">Mercedes-Benz</x:t>
        </x:is>
      </x:c>
      <x:c r="B6" s="83" t="inlineStr">
        <x:is>
          <x:t xml:space="preserve">Mercedes-Benz is the least volatile of the three in this workbook. That is consistent with its premium positioning, stronger cash conversion and shareholder-return profile, which helped cushion the stock through the cycle. Even so, China remains a major swing factor, so weaker Chinese demand still translated into lower margin expectations and a reset in sentiment.</x:t>
        </x:is>
      </x:c>
      <x:c r="C6" s="89" t="n"/>
      <x:c r="D6" s="89" t="n"/>
      <x:c r="E6" s="89" t="n"/>
      <x:c r="F6" s="90" t="n"/>
      <x:c r="G6" s="84" t="inlineStr">
        <x:is>
          <x:t xml:space="preserve">https://portfolioslab.com/symbol/MBG.DE
https://www.reuters.com/business/autos-transportation/daimler-shakes-off-chip-crunch-says-track-meet-2021-targets-2021-10-29/
https://www.reuters.com/business/autos-transportation/mercedes-benz-reports-2023-free-cash-flow-above-expectations-industrial-business-2024-02-01/</x:t>
        </x:is>
      </x:c>
      <x:c r="H6" s="89" t="n"/>
      <x:c r="I6" s="89" t="n"/>
      <x:c r="J6" s="90" t="n"/>
    </x:row>
    <x:row r="7" ht="62" customHeight="1">
      <x:c r="A7" s="82" t="inlineStr">
        <x:is>
          <x:t xml:space="preserve">BYD</x:t>
        </x:is>
      </x:c>
      <x:c r="B7" s="83" t="inlineStr">
        <x:is>
          <x:t xml:space="preserve">BYD has a growth-stock volatility profile: higher than Mercedes, but driven by different mechanics than Stellantis. The shares re-rate on evidence of technology leadership, delivery momentum and global expansion, but they also react sharply to EV price wars, policy changes and margin pressure in China.</x:t>
        </x:is>
      </x:c>
      <x:c r="C7" s="89" t="n"/>
      <x:c r="D7" s="89" t="n"/>
      <x:c r="E7" s="89" t="n"/>
      <x:c r="F7" s="90" t="n"/>
      <x:c r="G7" s="84" t="inlineStr">
        <x:is>
          <x:t xml:space="preserve">https://portfolioslab.com/symbol/1211.HK
https://www.reuters.com/business/autos-transportation/teslas-fourth-quarter-deliveries-beat-estimates-2024-01-02/
https://www.reuters.com/business/autos-transportation/chinese-ev-giant-byds-fourth-quarter-profit-leaps-73-2025-03-24/</x:t>
        </x:is>
      </x:c>
      <x:c r="H7" s="89" t="n"/>
      <x:c r="I7" s="89" t="n"/>
      <x:c r="J7" s="90" t="n"/>
    </x:row>
    <x:row r="8" ht="28" customHeight="1">
      <x:c r="A8" s="85" t="n"/>
      <x:c r="B8" s="85" t="n"/>
      <x:c r="G8" s="85" t="n"/>
    </x:row>
    <x:row r="9" ht="24" customHeight="1">
      <x:c r="A9" s="80" t="inlineStr">
        <x:is>
          <x:t xml:space="preserve">2. Sector-wide drivers</x:t>
        </x:is>
      </x:c>
      <x:c r="B9" s="89" t="n"/>
      <x:c r="C9" s="89" t="n"/>
      <x:c r="D9" s="89" t="n"/>
      <x:c r="E9" s="89" t="n"/>
      <x:c r="F9" s="89" t="n"/>
      <x:c r="G9" s="89" t="n"/>
      <x:c r="H9" s="89" t="n"/>
      <x:c r="I9" s="89" t="n"/>
      <x:c r="J9" s="90" t="n"/>
    </x:row>
    <x:row r="10" ht="20" customHeight="1">
      <x:c r="A10" s="81" t="inlineStr">
        <x:is>
          <x:t xml:space="preserve">Topic / company</x:t>
        </x:is>
      </x:c>
    </x:row>
    <x:row r="11" ht="58" customHeight="1">
      <x:c r="A11" s="82" t="inlineStr">
        <x:is>
          <x:t xml:space="preserve">Sector-wide drivers</x:t>
        </x:is>
      </x:c>
      <x:c r="B11" s="83" t="inlineStr">
        <x:is>
          <x:t xml:space="preserve">Across the full period, all three stocks were influenced by the same macro themes: semiconductor shortages and supply-chain disruption, the EV transition and the resulting increase in Chinese competitive pressure, and the later pricing war / tariff debate around Chinese EV exports. These sector drivers affected all three companies, but with different intensity.</x:t>
        </x:is>
      </x:c>
      <x:c r="C11" s="89" t="n"/>
      <x:c r="D11" s="89" t="n"/>
      <x:c r="E11" s="89" t="n"/>
      <x:c r="F11" s="90" t="n"/>
      <x:c r="G11" s="84" t="inlineStr">
        <x:is>
          <x:t xml:space="preserve">https://www.reuters.com/business/autos-transportation/carmakers-get-inventive-global-chip-crisis-bites-2021-11-26/</x:t>
        </x:is>
      </x:c>
      <x:c r="H11" s="89" t="n"/>
      <x:c r="I11" s="89" t="n"/>
      <x:c r="J11" s="90" t="n"/>
    </x:row>
    <x:row r="12" ht="8" customHeight="1">
      <x:c r="A12" s="85" t="n"/>
      <x:c r="B12" s="85" t="n"/>
      <x:c r="G12" s="85" t="n"/>
    </x:row>
    <x:row r="13" ht="24" customHeight="1">
      <x:c r="A13" s="80" t="inlineStr">
        <x:is>
          <x:t xml:space="preserve">3. Company-specific price drivers</x:t>
        </x:is>
      </x:c>
      <x:c r="B13" s="89" t="n"/>
      <x:c r="C13" s="89" t="n"/>
      <x:c r="D13" s="89" t="n"/>
      <x:c r="E13" s="89" t="n"/>
      <x:c r="F13" s="89" t="n"/>
      <x:c r="G13" s="89" t="n"/>
      <x:c r="H13" s="89" t="n"/>
      <x:c r="I13" s="89" t="n"/>
      <x:c r="J13" s="90" t="n"/>
    </x:row>
    <x:row r="14" ht="20" customHeight="1">
      <x:c r="A14" s="81" t="inlineStr">
        <x:is>
          <x:t xml:space="preserve">Topic / company</x:t>
        </x:is>
      </x:c>
    </x:row>
    <x:row r="15" ht="78" customHeight="1">
      <x:c r="A15" s="82" t="inlineStr">
        <x:is>
          <x:t xml:space="preserve">Stellantis</x:t>
        </x:is>
      </x:c>
      <x:c r="B15" s="83" t="inlineStr">
        <x:is>
          <x:t xml:space="preserve">On the upside, the stock was supported by the post-merger synergy story, strong profitability, free cash flow and buybacks. On the downside, the narrative broke when management flagged a more difficult 2024 and then reported weak North American performance, elevated dealer inventories and a weaker outlook. In practice, Stellantis outperformed when investors focused on cash returns and merger execution, and underperformed when they shifted to operational execution risk.</x:t>
        </x:is>
      </x:c>
      <x:c r="C15" s="89" t="n"/>
      <x:c r="D15" s="89" t="n"/>
      <x:c r="E15" s="89" t="n"/>
      <x:c r="F15" s="90" t="n"/>
      <x:c r="G15" s="84" t="inlineStr">
        <x:is>
          <x:t xml:space="preserve">https://www.reuters.com/business/autos-transportation/stellantis-says-fy-operating-profit-margin-tops-target-2022-02-23/
https://www.reuters.com/business/autos-transportation/renault-stellantis-shares-rally-investors-cheer-cash-haul-2024-02-15/</x:t>
        </x:is>
      </x:c>
      <x:c r="H15" s="89" t="n"/>
      <x:c r="I15" s="89" t="n"/>
      <x:c r="J15" s="90" t="n"/>
    </x:row>
    <x:row r="16" ht="70" customHeight="1">
      <x:c r="A16" s="82" t="inlineStr">
        <x:is>
          <x:t xml:space="preserve">Mercedes-Benz</x:t>
        </x:is>
      </x:c>
      <x:c r="B16" s="83" t="inlineStr">
        <x:is>
          <x:t xml:space="preserve">Mercedes was supported by premium mix resilience during the chip shortage, followed by strong free cash flow and aggressive buybacks. The stock then lost momentum as the China market weakened, competition intensified and the company cut its margin outlook. The key message is that Mercedes traded as a quality incumbent, but its China exposure prevented it from being treated as a safe haven.</x:t>
        </x:is>
      </x:c>
      <x:c r="C16" s="89" t="n"/>
      <x:c r="D16" s="89" t="n"/>
      <x:c r="E16" s="89" t="n"/>
      <x:c r="F16" s="90" t="n"/>
      <x:c r="G16" s="84" t="inlineStr">
        <x:is>
          <x:t xml:space="preserve">https://www.reuters.com/business/autos-transportation/daimler-shakes-off-chip-crunch-says-track-meet-2021-targets-2021-10-29/
https://www.reuters.com/business/autos-transportation/mercedes-benz-reports-2023-free-cash-flow-above-expectations-industrial-business-2024-02-01/</x:t>
        </x:is>
      </x:c>
      <x:c r="H16" s="89" t="n"/>
      <x:c r="I16" s="89" t="n"/>
      <x:c r="J16" s="90" t="n"/>
    </x:row>
    <x:row r="17" ht="82" customHeight="1">
      <x:c r="A17" s="82" t="inlineStr">
        <x:is>
          <x:t xml:space="preserve">BYD</x:t>
        </x:is>
      </x:c>
      <x:c r="B17" s="83" t="inlineStr">
        <x:is>
          <x:t xml:space="preserve">BYD’s upside came from strong sales growth, the perception that it had overtaken rivals in EV scale, continued overseas expansion and a technology-leadership narrative. More recently, however, the stock has had to absorb the downside of that same strategy: aggressive price cuts, pressure on margins and softer domestic momentum. BYD remains the strongest long-term winner, but also the name most exposed to changes in growth expectations.</x:t>
        </x:is>
      </x:c>
      <x:c r="C17" s="89" t="n"/>
      <x:c r="D17" s="89" t="n"/>
      <x:c r="E17" s="89" t="n"/>
      <x:c r="F17" s="90" t="n"/>
      <x:c r="G17" s="84" t="inlineStr">
        <x:is>
          <x:t xml:space="preserve">https://www.reuters.com/business/autos-transportation/teslas-fourth-quarter-deliveries-beat-estimates-2024-01-02/
https://www.reuters.com/business/autos-transportation/chinese-ev-giant-byds-fourth-quarter-profit-leaps-73-2025-03-24/</x:t>
        </x:is>
      </x:c>
      <x:c r="H17" s="89" t="n"/>
      <x:c r="I17" s="89" t="n"/>
      <x:c r="J17" s="90" t="n"/>
    </x:row>
    <x:row r="18" ht="8" customHeight="1">
      <x:c r="A18" s="85" t="n"/>
      <x:c r="B18" s="85" t="n"/>
      <x:c r="G18" s="85" t="n"/>
    </x:row>
    <x:row r="19" ht="24" customHeight="1">
      <x:c r="A19" s="80" t="inlineStr">
        <x:is>
          <x:t xml:space="preserve">4. Final one-line takeaway</x:t>
        </x:is>
      </x:c>
      <x:c r="B19" s="89" t="n"/>
      <x:c r="C19" s="89" t="n"/>
      <x:c r="D19" s="89" t="n"/>
      <x:c r="E19" s="89" t="n"/>
      <x:c r="F19" s="89" t="n"/>
      <x:c r="G19" s="89" t="n"/>
      <x:c r="H19" s="89" t="n"/>
      <x:c r="I19" s="89" t="n"/>
      <x:c r="J19" s="90" t="n"/>
    </x:row>
    <x:row r="20" ht="20" customHeight="1">
      <x:c r="A20" s="81" t="inlineStr">
        <x:is>
          <x:t xml:space="preserve">Topic / company</x:t>
        </x:is>
      </x:c>
    </x:row>
    <x:row r="21" ht="48" customHeight="1">
      <x:c r="A21" s="82" t="inlineStr">
        <x:is>
          <x:t xml:space="preserve">Final one-line takeaway</x:t>
        </x:is>
      </x:c>
      <x:c r="B21" s="83" t="inlineStr">
        <x:is>
          <x:t xml:space="preserve">Mercedes-Benz was the most stable stock, BYD delivered the strongest structural growth but with higher sentiment risk, while Stellantis experienced the sharpest re-rating as execution concerns replaced the post-merger cash-flow story.</x:t>
        </x:is>
      </x:c>
      <x:c r="C21" s="89" t="n"/>
      <x:c r="D21" s="89" t="n"/>
      <x:c r="E21" s="89" t="n"/>
      <x:c r="F21" s="90" t="n"/>
      <x:c r="G21" s="84" t="inlineStr">
        <x:is>
          <x:t xml:space="preserve">Derived from workbook metrics plus the Reuters and PortfoliosLab URLs listed in the Sources sheet.</x:t>
        </x:is>
      </x:c>
      <x:c r="H21" s="89" t="n"/>
      <x:c r="I21" s="89" t="n"/>
      <x:c r="J21" s="90" t="n"/>
    </x:row>
    <x:row r="22" ht="70" customHeight="1">
      <x:c r="A22" s="85" t="n"/>
      <x:c r="B22" s="85" t="n"/>
      <x:c r="G22" s="85" t="n"/>
    </x:row>
    <x:row r="23" ht="28" customHeight="1">
      <x:c r="A23" s="85" t="n"/>
      <x:c r="B23" s="85" t="n"/>
      <x:c r="C23" s="85" t="n"/>
      <x:c r="D23" s="85" t="n"/>
      <x:c r="E23" s="85" t="n"/>
      <x:c r="F23" s="85" t="n"/>
      <x:c r="G23" s="85" t="n"/>
      <x:c r="H23" s="85" t="n"/>
      <x:c r="I23" s="85" t="n"/>
      <x:c r="J23" s="85" t="n"/>
    </x:row>
    <x:row r="24" ht="8" customHeight="1">
      <x:c r="A24" s="85" t="n"/>
      <x:c r="B24" s="85" t="n"/>
      <x:c r="C24" s="85" t="n"/>
      <x:c r="D24" s="85" t="n"/>
      <x:c r="E24" s="85" t="n"/>
      <x:c r="F24" s="85" t="n"/>
      <x:c r="G24" s="85" t="n"/>
      <x:c r="H24" s="85" t="n"/>
      <x:c r="I24" s="85" t="n"/>
      <x:c r="J24" s="85" t="n"/>
    </x:row>
    <x:row r="25" ht="70" customHeight="1">
      <x:c r="A25" s="85" t="n"/>
      <x:c r="B25" s="85" t="n"/>
      <x:c r="C25" s="85" t="n"/>
      <x:c r="D25" s="85" t="n"/>
      <x:c r="E25" s="85" t="n"/>
      <x:c r="F25" s="85" t="n"/>
      <x:c r="G25" s="85" t="n"/>
      <x:c r="H25" s="85" t="n"/>
      <x:c r="I25" s="85" t="n"/>
      <x:c r="J25" s="85" t="n"/>
    </x:row>
    <x:row r="26"/>
    <x:row r="27" ht="28" customHeight="1"/>
    <x:row r="28" ht="8" customHeight="1"/>
  </x:sheetData>
  <x:mergeCells>
    <x:mergeCell ref="B4:F4"/>
    <x:mergeCell ref="B7:F7"/>
    <x:mergeCell ref="A4:A4"/>
    <x:mergeCell ref="B16:F16"/>
    <x:mergeCell ref="G4:J4"/>
    <x:mergeCell ref="G20:J20"/>
    <x:mergeCell ref="A20:A20"/>
    <x:mergeCell ref="G16:J16"/>
    <x:mergeCell ref="A10:A10"/>
    <x:mergeCell ref="A13:J13"/>
    <x:mergeCell ref="A19:J19"/>
    <x:mergeCell ref="B21:F21"/>
    <x:mergeCell ref="A9:J9"/>
    <x:mergeCell ref="B11:F11"/>
    <x:mergeCell ref="G21:J21"/>
    <x:mergeCell ref="G5:J5"/>
    <x:mergeCell ref="G11:J11"/>
    <x:mergeCell ref="B14:F14"/>
    <x:mergeCell ref="B17:F17"/>
    <x:mergeCell ref="A1:J1"/>
    <x:mergeCell ref="G17:J17"/>
    <x:mergeCell ref="B10:F10"/>
    <x:mergeCell ref="G7:J7"/>
    <x:mergeCell ref="G10:J10"/>
    <x:mergeCell ref="G6:J6"/>
    <x:mergeCell ref="B6:F6"/>
    <x:mergeCell ref="B20:F20"/>
    <x:mergeCell ref="B15:F15"/>
    <x:mergeCell ref="A3:J3"/>
    <x:mergeCell ref="B5:F5"/>
    <x:mergeCell ref="G15:J15"/>
    <x:mergeCell ref="A14:A14"/>
    <x:mergeCell ref="G14:J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8" customWidth="1"/>
    <x:col min="2" max="2" width="16" customWidth="1"/>
    <x:col min="3" max="3" width="16" customWidth="1"/>
    <x:col min="4" max="4" width="44" customWidth="1"/>
    <x:col min="5" max="5" width="66" customWidth="1"/>
    <x:col min="6" max="6" width="34" customWidth="1"/>
    <x:col min="7" max="7" width="28" customWidth="1"/>
  </x:cols>
  <x:sheetData>
    <x:row r="1">
      <x:c r="A1" s="54" t="inlineStr">
        <x:is>
          <x:t xml:space="preserve">Source Log</x:t>
        </x:is>
      </x:c>
      <x:c r="B1" s="86" t="n"/>
      <x:c r="C1" s="86" t="n"/>
      <x:c r="D1" s="86" t="n"/>
      <x:c r="E1" s="86" t="n"/>
      <x:c r="F1" s="87" t="n"/>
    </x:row>
    <x:row r="2">
      <x:c r="A2" s="56" t="inlineStr">
        <x:is>
          <x:t xml:space="preserve">All web sources used for the workbook metrics and the narrative commentary. URLs are plain text for easy copy/paste.</x:t>
        </x:is>
      </x:c>
      <x:c r="B2" s="86" t="n"/>
      <x:c r="C2" s="86" t="n"/>
      <x:c r="D2" s="86" t="n"/>
      <x:c r="E2" s="86" t="n"/>
      <x:c r="F2" s="87" t="n"/>
    </x:row>
    <x:row r="4">
      <x:c r="A4" s="64" t="inlineStr">
        <x:is>
          <x:t xml:space="preserve">ID</x:t>
        </x:is>
      </x:c>
      <x:c r="B4" s="64" t="inlineStr">
        <x:is>
          <x:t xml:space="preserve">Category</x:t>
        </x:is>
      </x:c>
      <x:c r="C4" s="64" t="inlineStr">
        <x:is>
          <x:t xml:space="preserve">Publisher</x:t>
        </x:is>
      </x:c>
      <x:c r="D4" s="64" t="inlineStr">
        <x:is>
          <x:t xml:space="preserve">Title / description</x:t>
        </x:is>
      </x:c>
      <x:c r="E4" s="64" t="inlineStr">
        <x:is>
          <x:t xml:space="preserve">URL</x:t>
        </x:is>
      </x:c>
      <x:c r="F4" s="64" t="inlineStr">
        <x:is>
          <x:t xml:space="preserve">Used for</x:t>
        </x:is>
      </x:c>
      <x:c r="G4" s="88" t="inlineStr">
        <x:is>
          <x:t xml:space="preserve">Mapped section</x:t>
        </x:is>
      </x:c>
    </x:row>
    <x:row r="5" ht="36" customHeight="1">
      <x:c r="A5" s="65" t="inlineStr">
        <x:is>
          <x:t xml:space="preserve">S1</x:t>
        </x:is>
      </x:c>
      <x:c r="B5" s="65" t="inlineStr">
        <x:is>
          <x:t xml:space="preserve">Market data</x:t>
        </x:is>
      </x:c>
      <x:c r="C5" s="65" t="inlineStr">
        <x:is>
          <x:t xml:space="preserve">PortfoliosLab</x:t>
        </x:is>
      </x:c>
      <x:c r="D5" s="65" t="inlineStr">
        <x:is>
          <x:t xml:space="preserve">Stellantis symbol page</x:t>
        </x:is>
      </x:c>
      <x:c r="E5" s="66" t="inlineStr">
        <x:is>
          <x:t xml:space="preserve">https://portfolioslab.com/symbol/STLA</x:t>
        </x:is>
      </x:c>
      <x:c r="F5" s="65" t="inlineStr">
        <x:is>
          <x:t xml:space="preserve">Monthly total-return inputs and indexed performance checks</x:t>
        </x:is>
      </x:c>
      <x:c r="G5" t="inlineStr">
        <x:is>
          <x:t xml:space="preserve">Volatility comments</x:t>
        </x:is>
      </x:c>
    </x:row>
    <x:row r="6" ht="36" customHeight="1">
      <x:c r="A6" s="52" t="inlineStr">
        <x:is>
          <x:t xml:space="preserve">S2</x:t>
        </x:is>
      </x:c>
      <x:c r="B6" s="52" t="inlineStr">
        <x:is>
          <x:t xml:space="preserve">Market data</x:t>
        </x:is>
      </x:c>
      <x:c r="C6" s="52" t="inlineStr">
        <x:is>
          <x:t xml:space="preserve">PortfoliosLab</x:t>
        </x:is>
      </x:c>
      <x:c r="D6" s="52" t="inlineStr">
        <x:is>
          <x:t xml:space="preserve">Mercedes-Benz symbol page</x:t>
        </x:is>
      </x:c>
      <x:c r="E6" s="67" t="inlineStr">
        <x:is>
          <x:t xml:space="preserve">https://portfolioslab.com/symbol/MBG.DE</x:t>
        </x:is>
      </x:c>
      <x:c r="F6" s="52" t="inlineStr">
        <x:is>
          <x:t xml:space="preserve">Monthly total-return inputs and indexed performance checks</x:t>
        </x:is>
      </x:c>
      <x:c r="G6" t="inlineStr">
        <x:is>
          <x:t xml:space="preserve">Volatility comments</x:t>
        </x:is>
      </x:c>
    </x:row>
    <x:row r="7" ht="36" customHeight="1">
      <x:c r="A7" s="65" t="inlineStr">
        <x:is>
          <x:t xml:space="preserve">S3</x:t>
        </x:is>
      </x:c>
      <x:c r="B7" s="65" t="inlineStr">
        <x:is>
          <x:t xml:space="preserve">Market data</x:t>
        </x:is>
      </x:c>
      <x:c r="C7" s="65" t="inlineStr">
        <x:is>
          <x:t xml:space="preserve">PortfoliosLab</x:t>
        </x:is>
      </x:c>
      <x:c r="D7" s="65" t="inlineStr">
        <x:is>
          <x:t xml:space="preserve">BYD symbol page</x:t>
        </x:is>
      </x:c>
      <x:c r="E7" s="66" t="inlineStr">
        <x:is>
          <x:t xml:space="preserve">https://portfolioslab.com/symbol/1211.HK</x:t>
        </x:is>
      </x:c>
      <x:c r="F7" s="65" t="inlineStr">
        <x:is>
          <x:t xml:space="preserve">Monthly total-return inputs and indexed performance checks</x:t>
        </x:is>
      </x:c>
      <x:c r="G7" t="inlineStr">
        <x:is>
          <x:t xml:space="preserve">Volatility comments</x:t>
        </x:is>
      </x:c>
    </x:row>
    <x:row r="8" ht="36" customHeight="1">
      <x:c r="A8" s="52" t="inlineStr">
        <x:is>
          <x:t xml:space="preserve">S4</x:t>
        </x:is>
      </x:c>
      <x:c r="B8" s="52" t="inlineStr">
        <x:is>
          <x:t xml:space="preserve">Company / market news</x:t>
        </x:is>
      </x:c>
      <x:c r="C8" s="52" t="inlineStr">
        <x:is>
          <x:t xml:space="preserve">Reuters</x:t>
        </x:is>
      </x:c>
      <x:c r="D8" s="52" t="inlineStr">
        <x:is>
          <x:t xml:space="preserve">Stellantis FY operating profit / cash-return narrative</x:t>
        </x:is>
      </x:c>
      <x:c r="E8" s="67" t="inlineStr">
        <x:is>
          <x:t xml:space="preserve">https://www.reuters.com/business/autos-transportation/stellantis-says-fy-operating-profit-margin-tops-target-2022-02-23/</x:t>
        </x:is>
      </x:c>
      <x:c r="F8" s="52" t="inlineStr">
        <x:is>
          <x:t xml:space="preserve">Stellantis upside and downside narrative</x:t>
        </x:is>
      </x:c>
      <x:c r="G8" t="inlineStr">
        <x:is>
          <x:t xml:space="preserve">Company-specific price drivers</x:t>
        </x:is>
      </x:c>
    </x:row>
    <x:row r="9" ht="36" customHeight="1">
      <x:c r="A9" s="65" t="inlineStr">
        <x:is>
          <x:t xml:space="preserve">S5</x:t>
        </x:is>
      </x:c>
      <x:c r="B9" s="65" t="inlineStr">
        <x:is>
          <x:t xml:space="preserve">Company / market news</x:t>
        </x:is>
      </x:c>
      <x:c r="C9" s="65" t="inlineStr">
        <x:is>
          <x:t xml:space="preserve">Reuters</x:t>
        </x:is>
      </x:c>
      <x:c r="D9" s="65" t="inlineStr">
        <x:is>
          <x:t xml:space="preserve">Renault / Stellantis shares rally as investors cheer cash haul</x:t>
        </x:is>
      </x:c>
      <x:c r="E9" s="66" t="inlineStr">
        <x:is>
          <x:t xml:space="preserve">https://www.reuters.com/business/autos-transportation/renault-stellantis-shares-rally-investors-cheer-cash-haul-2024-02-15/</x:t>
        </x:is>
      </x:c>
      <x:c r="F9" s="65" t="inlineStr">
        <x:is>
          <x:t xml:space="preserve">Stellantis rerating and shareholder-return narrative</x:t>
        </x:is>
      </x:c>
      <x:c r="G9" t="inlineStr">
        <x:is>
          <x:t xml:space="preserve">Company-specific price drivers</x:t>
        </x:is>
      </x:c>
    </x:row>
    <x:row r="10" ht="36" customHeight="1">
      <x:c r="A10" s="52" t="inlineStr">
        <x:is>
          <x:t xml:space="preserve">S6</x:t>
        </x:is>
      </x:c>
      <x:c r="B10" s="52" t="inlineStr">
        <x:is>
          <x:t xml:space="preserve">Company / market news</x:t>
        </x:is>
      </x:c>
      <x:c r="C10" s="52" t="inlineStr">
        <x:is>
          <x:t xml:space="preserve">Reuters</x:t>
        </x:is>
      </x:c>
      <x:c r="D10" s="52" t="inlineStr">
        <x:is>
          <x:t xml:space="preserve">Mercedes / Daimler chip-crunch resilience article</x:t>
        </x:is>
      </x:c>
      <x:c r="E10" s="67" t="inlineStr">
        <x:is>
          <x:t xml:space="preserve">https://www.reuters.com/business/autos-transportation/daimler-shakes-off-chip-crunch-says-track-meet-2021-targets-2021-10-29/</x:t>
        </x:is>
      </x:c>
      <x:c r="F10" s="52" t="inlineStr">
        <x:is>
          <x:t xml:space="preserve">Mercedes resilience and volatility commentary</x:t>
        </x:is>
      </x:c>
      <x:c r="G10" t="inlineStr">
        <x:is>
          <x:t xml:space="preserve">Sector-wide drivers</x:t>
        </x:is>
      </x:c>
    </x:row>
    <x:row r="11" ht="36" customHeight="1">
      <x:c r="A11" s="65" t="inlineStr">
        <x:is>
          <x:t xml:space="preserve">S7</x:t>
        </x:is>
      </x:c>
      <x:c r="B11" s="65" t="inlineStr">
        <x:is>
          <x:t xml:space="preserve">Company / market news</x:t>
        </x:is>
      </x:c>
      <x:c r="C11" s="65" t="inlineStr">
        <x:is>
          <x:t xml:space="preserve">Reuters</x:t>
        </x:is>
      </x:c>
      <x:c r="D11" s="65" t="inlineStr">
        <x:is>
          <x:t xml:space="preserve">Mercedes-Benz 2023 free cash flow above expectations</x:t>
        </x:is>
      </x:c>
      <x:c r="E11" s="66" t="inlineStr">
        <x:is>
          <x:t xml:space="preserve">https://www.reuters.com/business/autos-transportation/mercedes-benz-reports-2023-free-cash-flow-above-expectations-industrial-business-2024-02-01/</x:t>
        </x:is>
      </x:c>
      <x:c r="F11" s="65" t="inlineStr">
        <x:is>
          <x:t xml:space="preserve">Mercedes cash flow and shareholder-return narrative</x:t>
        </x:is>
      </x:c>
      <x:c r="G11" t="inlineStr">
        <x:is>
          <x:t xml:space="preserve">Supports sector-wide drivers</x:t>
        </x:is>
      </x:c>
    </x:row>
    <x:row r="12" ht="36" customHeight="1">
      <x:c r="A12" s="52" t="inlineStr">
        <x:is>
          <x:t xml:space="preserve">S8</x:t>
        </x:is>
      </x:c>
      <x:c r="B12" s="52" t="inlineStr">
        <x:is>
          <x:t xml:space="preserve">Company / market news</x:t>
        </x:is>
      </x:c>
      <x:c r="C12" s="52" t="inlineStr">
        <x:is>
          <x:t xml:space="preserve">Reuters</x:t>
        </x:is>
      </x:c>
      <x:c r="D12" s="52" t="inlineStr">
        <x:is>
          <x:t xml:space="preserve">Chinese EV giant BYD fourth-quarter profit leaps</x:t>
        </x:is>
      </x:c>
      <x:c r="E12" s="67" t="inlineStr">
        <x:is>
          <x:t xml:space="preserve">https://www.reuters.com/business/autos-transportation/chinese-ev-giant-byds-fourth-quarter-profit-leaps-73-2025-03-24/</x:t>
        </x:is>
      </x:c>
      <x:c r="F12" s="52" t="inlineStr">
        <x:is>
          <x:t xml:space="preserve">BYD growth, technology and margin-pressure narrative</x:t>
        </x:is>
      </x:c>
    </x:row>
    <x:row r="13" ht="36" customHeight="1">
      <x:c r="A13" s="65" t="inlineStr">
        <x:is>
          <x:t xml:space="preserve">S9</x:t>
        </x:is>
      </x:c>
      <x:c r="B13" s="65" t="inlineStr">
        <x:is>
          <x:t xml:space="preserve">Company / market news</x:t>
        </x:is>
      </x:c>
      <x:c r="C13" s="65" t="inlineStr">
        <x:is>
          <x:t xml:space="preserve">Reuters</x:t>
        </x:is>
      </x:c>
      <x:c r="D13" s="65" t="inlineStr">
        <x:is>
          <x:t xml:space="preserve">Tesla fourth-quarter deliveries beat estimates</x:t>
        </x:is>
      </x:c>
      <x:c r="E13" s="66" t="inlineStr">
        <x:is>
          <x:t xml:space="preserve">https://www.reuters.com/business/autos-transportation/teslas-fourth-quarter-deliveries-beat-estimates-2024-01-02/</x:t>
        </x:is>
      </x:c>
      <x:c r="F13" s="65" t="inlineStr">
        <x:is>
          <x:t xml:space="preserve">BYD / EV-leadership narrative and growth expectations</x:t>
        </x:is>
      </x:c>
    </x:row>
    <x:row r="14" ht="36" customHeight="1">
      <x:c r="A14" s="52" t="inlineStr">
        <x:is>
          <x:t xml:space="preserve">S10</x:t>
        </x:is>
      </x:c>
      <x:c r="B14" s="52" t="inlineStr">
        <x:is>
          <x:t xml:space="preserve">Sector news</x:t>
        </x:is>
      </x:c>
      <x:c r="C14" s="52" t="inlineStr">
        <x:is>
          <x:t xml:space="preserve">Reuters</x:t>
        </x:is>
      </x:c>
      <x:c r="D14" s="52" t="inlineStr">
        <x:is>
          <x:t xml:space="preserve">Carmakers get inventive as global chip crisis bites</x:t>
        </x:is>
      </x:c>
      <x:c r="E14" s="67" t="inlineStr">
        <x:is>
          <x:t xml:space="preserve">https://www.reuters.com/business/autos-transportation/carmakers-get-inventive-global-chip-crisis-bites-2021-11-26/</x:t>
        </x:is>
      </x:c>
      <x:c r="F14" s="52" t="inlineStr">
        <x:is>
          <x:t xml:space="preserve">Sector-wide driver commentary: chip shortage and supply-chain disruption</x:t>
        </x:is>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4" customWidth="1"/>
    <x:col min="2" max="2" width="16" customWidth="1"/>
    <x:col min="3" max="3" width="11" customWidth="1"/>
    <x:col min="4" max="4" width="18" customWidth="1"/>
    <x:col min="5" max="5" width="12" customWidth="1"/>
    <x:col min="6" max="6" width="12" customWidth="1"/>
    <x:col min="7" max="7" width="12" customWidth="1"/>
    <x:col min="8" max="8" width="12" customWidth="1"/>
    <x:col min="9" max="9" width="12" customWidth="1"/>
    <x:col min="10" max="10" width="14" customWidth="1"/>
    <x:col min="11" max="11" width="16" customWidth="1"/>
  </x:cols>
  <x:sheetData>
    <x:row r="1">
      <x:c r="A1" s="12" t="inlineStr">
        <x:is>
          <x:t xml:space="preserve">Summary Metrics</x:t>
        </x:is>
      </x:c>
    </x:row>
    <x:row r="2"/>
    <x:row r="3">
      <x:c r="A3" s="13" t="inlineStr">
        <x:is>
          <x:t xml:space="preserve">All metrics below are formula-driven from the raw monthly return sheet.</x:t>
        </x:is>
      </x:c>
    </x:row>
    <x:row r="5">
      <x:c r="A5" s="14" t="inlineStr">
        <x:is>
          <x:t xml:space="preserve">Company</x:t>
        </x:is>
      </x:c>
      <x:c r="B5" s="14" t="inlineStr">
        <x:is>
          <x:t xml:space="preserve">Index level
(base=100)</x:t>
        </x:is>
      </x:c>
      <x:c r="C5" s="14" t="inlineStr">
        <x:is>
          <x:t xml:space="preserve">Currency</x:t>
        </x:is>
      </x:c>
      <x:c r="D5" s="14" t="inlineStr">
        <x:is>
          <x:t xml:space="preserve">YTD</x:t>
        </x:is>
      </x:c>
      <x:c r="E5" s="14" t="inlineStr">
        <x:is>
          <x:t xml:space="preserve">1Y</x:t>
        </x:is>
      </x:c>
      <x:c r="F5" s="14" t="inlineStr">
        <x:is>
          <x:t xml:space="preserve">3Y CAGR</x:t>
        </x:is>
      </x:c>
      <x:c r="G5" s="14" t="inlineStr">
        <x:is>
          <x:t xml:space="preserve">5Y CAGR</x:t>
        </x:is>
      </x:c>
      <x:c r="H5" s="14" t="inlineStr">
        <x:is>
          <x:t xml:space="preserve">1Y vol</x:t>
        </x:is>
      </x:c>
      <x:c r="I5" s="14" t="inlineStr">
        <x:is>
          <x:t xml:space="preserve">Max drawdown</x:t>
        </x:is>
      </x:c>
      <x:c r="J5" s="14" t="inlineStr">
        <x:is>
          <x:t xml:space="preserve">Interpretation</x:t>
        </x:is>
      </x:c>
      <x:c r="K5" s="14" t="inlineStr">
        <x:is>
          <x:t xml:space="preserve">Source note</x:t>
        </x:is>
      </x:c>
    </x:row>
    <x:row r="6">
      <x:c r="A6" s="15" t="inlineStr">
        <x:is>
          <x:t xml:space="preserve">Stellantis</x:t>
        </x:is>
      </x:c>
      <x:c r="B6" s="16">
        <x:f>Calc!M6</x:f>
        <x:v>70.01946836858056</x:v>
      </x:c>
      <x:c r="C6" s="17" t="inlineStr">
        <x:is>
          <x:t xml:space="preserve">USD</x:t>
        </x:is>
      </x:c>
      <x:c r="D6" s="18">
        <x:f>Calc!M7</x:f>
        <x:v>-0.287401260384622</x:v>
      </x:c>
      <x:c r="E6" s="18">
        <x:f>Calc!M8</x:f>
        <x:v>-0.16369662947280017</x:v>
      </x:c>
      <x:c r="F6" s="18">
        <x:f>Calc!M9</x:f>
        <x:v>-0.15994634025648724</x:v>
      </x:c>
      <x:c r="G6" s="18">
        <x:f>Calc!M10</x:f>
        <x:v>-0.06858628731941918</x:v>
      </x:c>
      <x:c r="H6" s="18">
        <x:f>Calc!M11</x:f>
        <x:v>0.3370547514196253</x:v>
      </x:c>
      <x:c r="I6" s="18">
        <x:f>Calc!M12</x:f>
        <x:v>-0.681721639507006</x:v>
      </x:c>
      <x:c r="J6" s="19" t="inlineStr">
        <x:is>
          <x:t xml:space="preserve">Weakest absolute and relative performance across recent and multi-year windows.</x:t>
        </x:is>
      </x:c>
      <x:c r="K6" s="19" t="inlineStr">
        <x:is>
          <x:t xml:space="preserve">Monthly returns transcribed from PortfoliosLab STLA pages.</x:t>
        </x:is>
      </x:c>
    </x:row>
    <x:row r="7">
      <x:c r="A7" s="15" t="inlineStr">
        <x:is>
          <x:t xml:space="preserve">Mercedes-Benz</x:t>
        </x:is>
      </x:c>
      <x:c r="B7" s="16">
        <x:f>Calc!N6</x:f>
        <x:v>156.3787634170138</x:v>
      </x:c>
      <x:c r="C7" s="17" t="inlineStr">
        <x:is>
          <x:t xml:space="preserve">EUR</x:t>
        </x:is>
      </x:c>
      <x:c r="D7" s="18">
        <x:f>Calc!N7</x:f>
        <x:v>-0.09457544949471997</x:v>
      </x:c>
      <x:c r="E7" s="18">
        <x:f>Calc!N8</x:f>
        <x:v>0.12625055528787388</x:v>
      </x:c>
      <x:c r="F7" s="18">
        <x:f>Calc!N9</x:f>
        <x:v>-0.008396317571392586</x:v>
      </x:c>
      <x:c r="G7" s="18">
        <x:f>Calc!N10</x:f>
        <x:v>0.03692726659582202</x:v>
      </x:c>
      <x:c r="H7" s="18">
        <x:f>Calc!N11</x:f>
        <x:v>0.19389351107338182</x:v>
      </x:c>
      <x:c r="I7" s="18">
        <x:f>Calc!N12</x:f>
        <x:v>-0.2475300909792162</x:v>
      </x:c>
      <x:c r="J7" s="19" t="inlineStr">
        <x:is>
          <x:t xml:space="preserve">Most resilient incumbent profile with moderate volatility and small positive long-run CAGR.</x:t>
        </x:is>
      </x:c>
      <x:c r="K7" s="19" t="inlineStr">
        <x:is>
          <x:t xml:space="preserve">Monthly returns transcribed from PortfoliosLab MBG.DE pages.</x:t>
        </x:is>
      </x:c>
    </x:row>
    <x:row r="8">
      <x:c r="A8" s="15" t="inlineStr">
        <x:is>
          <x:t xml:space="preserve">BYD</x:t>
        </x:is>
      </x:c>
      <x:c r="B8" s="16">
        <x:f>Calc!O6</x:f>
        <x:v>166.5758032800339</x:v>
      </x:c>
      <x:c r="C8" s="17" t="inlineStr">
        <x:is>
          <x:t xml:space="preserve">HKD</x:t>
        </x:is>
      </x:c>
      <x:c r="D8" s="18">
        <x:f>Calc!O7</x:f>
        <x:v>0.12025051038018808</x:v>
      </x:c>
      <x:c r="E8" s="18">
        <x:f>Calc!O8</x:f>
        <x:v>-0.10517038270281664</x:v>
      </x:c>
      <x:c r="F8" s="18">
        <x:f>Calc!O9</x:f>
        <x:v>0.1272379102597756</x:v>
      </x:c>
      <x:c r="G8" s="18">
        <x:f>Calc!O10</x:f>
        <x:v>0.16123052778043245</x:v>
      </x:c>
      <x:c r="H8" s="18">
        <x:f>Calc!O11</x:f>
        <x:v>0.18817997913023196</x:v>
      </x:c>
      <x:c r="I8" s="18">
        <x:f>Calc!O12</x:f>
        <x:v>-0.4421297398568048</x:v>
      </x:c>
      <x:c r="J8" s="19" t="inlineStr">
        <x:is>
          <x:t xml:space="preserve">Best long-run compounder, but recent price action is more mixed.</x:t>
        </x:is>
      </x:c>
      <x:c r="K8" s="19" t="inlineStr">
        <x:is>
          <x:t xml:space="preserve">Monthly returns transcribed from PortfoliosLab 1211.HK pages.</x:t>
        </x:is>
      </x:c>
    </x:row>
    <x:row r="11">
      <x:c r="A11" s="20" t="inlineStr">
        <x:is>
          <x:t xml:space="preserve">Summary</x:t>
        </x:is>
      </x:c>
    </x:row>
    <x:row r="12">
      <x:c r="A12" s="21" t="inlineStr">
        <x:is>
          <x:t xml:space="preserve">Over the last five years, the market rewarded BYD's EV scale and growth optionality, treated Mercedes-Benz as the most resilient incumbent, and sharply derated Stellantis.</x:t>
        </x:is>
      </x:c>
    </x:row>
    <x:row r="13"/>
  </x:sheetData>
  <x:mergeCells>
    <x:mergeCell ref="A1:K2"/>
    <x:mergeCell ref="A12:K13"/>
  </x:mergeCells>
  <x:conditionalFormatting sqref="D6:D8">
    <x:cfRule type="colorScale" priority="1">
      <x:colorScale>
        <x:cfvo type="num" val="-0.3"/>
        <x:cfvo type="num" val="0"/>
        <x:cfvo type="num" val="0.2"/>
        <x:color rgb="00F87171"/>
        <x:color rgb="00FEF3C7"/>
        <x:color rgb="004ADE80"/>
      </x:colorScale>
    </x:cfRule>
  </x:conditionalFormatting>
  <x:conditionalFormatting sqref="E6:E8">
    <x:cfRule type="colorScale" priority="2">
      <x:colorScale>
        <x:cfvo type="num" val="-0.3"/>
        <x:cfvo type="num" val="0"/>
        <x:cfvo type="num" val="0.2"/>
        <x:color rgb="00F87171"/>
        <x:color rgb="00FEF3C7"/>
        <x:color rgb="004ADE80"/>
      </x:colorScale>
    </x:cfRule>
  </x:conditionalFormatting>
  <x:conditionalFormatting sqref="F6:F8">
    <x:cfRule type="colorScale" priority="3">
      <x:colorScale>
        <x:cfvo type="num" val="-0.3"/>
        <x:cfvo type="num" val="0"/>
        <x:cfvo type="num" val="0.2"/>
        <x:color rgb="00F87171"/>
        <x:color rgb="00FEF3C7"/>
        <x:color rgb="004ADE80"/>
      </x:colorScale>
    </x:cfRule>
  </x:conditionalFormatting>
  <x:conditionalFormatting sqref="G6:G8">
    <x:cfRule type="colorScale" priority="4">
      <x:colorScale>
        <x:cfvo type="num" val="-0.3"/>
        <x:cfvo type="num" val="0"/>
        <x:cfvo type="num" val="0.2"/>
        <x:color rgb="00F87171"/>
        <x:color rgb="00FEF3C7"/>
        <x:color rgb="004ADE80"/>
      </x:colorScale>
    </x:cfRule>
  </x:conditionalFormatting>
  <x:conditionalFormatting sqref="H6:H8">
    <x:cfRule type="colorScale" priority="5">
      <x:colorScale>
        <x:cfvo type="num" val="0.1"/>
        <x:cfvo type="num" val="0.25"/>
        <x:cfvo type="num" val="0.4"/>
        <x:color rgb="004ADE80"/>
        <x:color rgb="00FEF3C7"/>
        <x:color rgb="00F87171"/>
      </x:colorScale>
    </x:cfRule>
  </x:conditionalFormatting>
  <x:conditionalFormatting sqref="I6:I8">
    <x:cfRule type="colorScale" priority="6">
      <x:colorScale>
        <x:cfvo type="num" val="-0.7"/>
        <x:cfvo type="num" val="-0.4"/>
        <x:cfvo type="num" val="-0.2"/>
        <x:color rgb="00F87171"/>
        <x:color rgb="00FEF3C7"/>
        <x:color rgb="004ADE80"/>
      </x:colorScale>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8" customWidth="1"/>
    <x:col min="4" max="4" width="14" customWidth="1"/>
    <x:col min="5" max="5" width="24" customWidth="1"/>
  </x:cols>
  <x:sheetData>
    <x:row r="1">
      <x:c r="A1" s="12" t="inlineStr">
        <x:is>
          <x:t xml:space="preserve">Raw Monthly Return Inputs</x:t>
        </x:is>
      </x:c>
    </x:row>
    <x:row r="2"/>
    <x:row r="3">
      <x:c r="A3" s="13" t="inlineStr">
        <x:is>
          <x:t xml:space="preserve">Inputs are expressed as decimal returns and formatted as percentages.</x:t>
        </x:is>
      </x:c>
    </x:row>
    <x:row r="4">
      <x:c r="A4" s="22" t="inlineStr">
        <x:is>
          <x:t xml:space="preserve">Date</x:t>
        </x:is>
      </x:c>
      <x:c r="B4" s="22" t="inlineStr">
        <x:is>
          <x:t xml:space="preserve">Stellantis (STLA)</x:t>
        </x:is>
      </x:c>
      <x:c r="C4" s="22" t="inlineStr">
        <x:is>
          <x:t xml:space="preserve">Mercedes-Benz (MBG.DE)</x:t>
        </x:is>
      </x:c>
      <x:c r="D4" s="22" t="inlineStr">
        <x:is>
          <x:t xml:space="preserve">BYD (1211.HK)</x:t>
        </x:is>
      </x:c>
      <x:c r="E4" s="22" t="inlineStr">
        <x:is>
          <x:t xml:space="preserve">Source note</x:t>
        </x:is>
      </x:c>
    </x:row>
    <x:row r="5">
      <x:c r="A5" s="23" t="n">
        <x:v>44227</x:v>
      </x:c>
      <x:c r="B5" s="24" t="n">
        <x:v>-0.1067</x:v>
      </x:c>
      <x:c r="C5" s="24" t="n">
        <x:v>0.005699999999999999</x:v>
      </x:c>
      <x:c r="D5" s="24" t="n">
        <x:v>0.1683</x:v>
      </x:c>
      <x:c r="E5" s="25" t="inlineStr">
        <x:is>
          <x:t xml:space="preserve">PortfoliosLab monthly total-return table</x:t>
        </x:is>
      </x:c>
    </x:row>
    <x:row r="6">
      <x:c r="A6" s="23" t="n">
        <x:v>44255</x:v>
      </x:c>
      <x:c r="B6" s="24" t="n">
        <x:v>0.0755</x:v>
      </x:c>
      <x:c r="C6" s="24" t="n">
        <x:v>0.1399</x:v>
      </x:c>
      <x:c r="D6" s="24" t="n">
        <x:v>-0.1693</x:v>
      </x:c>
      <x:c r="E6" s="25" t="inlineStr">
        <x:is>
          <x:t xml:space="preserve">PortfoliosLab monthly total-return table</x:t>
        </x:is>
      </x:c>
    </x:row>
    <x:row r="7">
      <x:c r="A7" s="23" t="n">
        <x:v>44286</x:v>
      </x:c>
      <x:c r="B7" s="24" t="n">
        <x:v>0.0929</x:v>
      </x:c>
      <x:c r="C7" s="24" t="n">
        <x:v>0.1473</x:v>
      </x:c>
      <x:c r="D7" s="24" t="n">
        <x:v>-0.1638</x:v>
      </x:c>
      <x:c r="E7" s="25" t="inlineStr">
        <x:is>
          <x:t xml:space="preserve">PortfoliosLab monthly total-return table</x:t>
        </x:is>
      </x:c>
    </x:row>
    <x:row r="8">
      <x:c r="A8" s="23" t="n">
        <x:v>44316</x:v>
      </x:c>
      <x:c r="B8" s="24" t="n">
        <x:v>-0.0487</x:v>
      </x:c>
      <x:c r="C8" s="24" t="n">
        <x:v>-0.008199999999999999</x:v>
      </x:c>
      <x:c r="D8" s="24" t="n">
        <x:v>-0.0279</x:v>
      </x:c>
      <x:c r="E8" s="25" t="inlineStr">
        <x:is>
          <x:t xml:space="preserve">PortfoliosLab monthly total-return table</x:t>
        </x:is>
      </x:c>
    </x:row>
    <x:row r="9">
      <x:c r="A9" s="23" t="n">
        <x:v>44347</x:v>
      </x:c>
      <x:c r="B9" s="24" t="n">
        <x:v>0.1811</x:v>
      </x:c>
      <x:c r="C9" s="24" t="n">
        <x:v>0.0286</x:v>
      </x:c>
      <x:c r="D9" s="24" t="n">
        <x:v>0.1229</x:v>
      </x:c>
      <x:c r="E9" s="25" t="inlineStr">
        <x:is>
          <x:t xml:space="preserve">PortfoliosLab monthly total-return table</x:t>
        </x:is>
      </x:c>
    </x:row>
    <x:row r="10">
      <x:c r="A10" s="23" t="n">
        <x:v>44377</x:v>
      </x:c>
      <x:c r="B10" s="24" t="n">
        <x:v>0.0072</x:v>
      </x:c>
      <x:c r="C10" s="24" t="n">
        <x:v>-0.0114</x:v>
      </x:c>
      <x:c r="D10" s="24" t="n">
        <x:v>0.2912</x:v>
      </x:c>
      <x:c r="E10" s="25" t="inlineStr">
        <x:is>
          <x:t xml:space="preserve">PortfoliosLab monthly total-return table</x:t>
        </x:is>
      </x:c>
    </x:row>
    <x:row r="11">
      <x:c r="A11" s="23" t="n">
        <x:v>44408</x:v>
      </x:c>
      <x:c r="B11" s="24" t="n">
        <x:v>-0.0274</x:v>
      </x:c>
      <x:c r="C11" s="24" t="n">
        <x:v>-0.0003</x:v>
      </x:c>
      <x:c r="D11" s="24" t="n">
        <x:v>0.0293</x:v>
      </x:c>
      <x:c r="E11" s="25" t="inlineStr">
        <x:is>
          <x:t xml:space="preserve">PortfoliosLab monthly total-return table</x:t>
        </x:is>
      </x:c>
    </x:row>
    <x:row r="12">
      <x:c r="A12" s="23" t="n">
        <x:v>44439</x:v>
      </x:c>
      <x:c r="B12" s="24" t="n">
        <x:v>0.0443</x:v>
      </x:c>
      <x:c r="C12" s="24" t="n">
        <x:v>-0.0513</x:v>
      </x:c>
      <x:c r="D12" s="24" t="n">
        <x:v>0.1021</x:v>
      </x:c>
      <x:c r="E12" s="25" t="inlineStr">
        <x:is>
          <x:t xml:space="preserve">PortfoliosLab monthly total-return table</x:t>
        </x:is>
      </x:c>
    </x:row>
    <x:row r="13">
      <x:c r="A13" s="23" t="n">
        <x:v>44469</x:v>
      </x:c>
      <x:c r="B13" s="24" t="n">
        <x:v>-0.046</x:v>
      </x:c>
      <x:c r="C13" s="24" t="n">
        <x:v>0.0742</x:v>
      </x:c>
      <x:c r="D13" s="24" t="n">
        <x:v>-0.0774</x:v>
      </x:c>
      <x:c r="E13" s="25" t="inlineStr">
        <x:is>
          <x:t xml:space="preserve">PortfoliosLab monthly total-return table</x:t>
        </x:is>
      </x:c>
    </x:row>
    <x:row r="14">
      <x:c r="A14" s="23" t="n">
        <x:v>44500</x:v>
      </x:c>
      <x:c r="B14" s="24" t="n">
        <x:v>0.044</x:v>
      </x:c>
      <x:c r="C14" s="24" t="n">
        <x:v>0.1176</x:v>
      </x:c>
      <x:c r="D14" s="24" t="n">
        <x:v>0.2206</x:v>
      </x:c>
      <x:c r="E14" s="25" t="inlineStr">
        <x:is>
          <x:t xml:space="preserve">PortfoliosLab monthly total-return table</x:t>
        </x:is>
      </x:c>
    </x:row>
    <x:row r="15">
      <x:c r="A15" s="23" t="n">
        <x:v>44530</x:v>
      </x:c>
      <x:c r="B15" s="24" t="n">
        <x:v>-0.1409</x:v>
      </x:c>
      <x:c r="C15" s="24" t="n">
        <x:v>-0.032</x:v>
      </x:c>
      <x:c r="D15" s="24" t="n">
        <x:v>0.033</x:v>
      </x:c>
      <x:c r="E15" s="25" t="inlineStr">
        <x:is>
          <x:t xml:space="preserve">PortfoliosLab monthly total-return table</x:t>
        </x:is>
      </x:c>
    </x:row>
    <x:row r="16">
      <x:c r="A16" s="23" t="n">
        <x:v>44561</x:v>
      </x:c>
      <x:c r="B16" s="24" t="n">
        <x:v>0.09519999999999999</x:v>
      </x:c>
      <x:c r="C16" s="24" t="n">
        <x:v>-0.0277</x:v>
      </x:c>
      <x:c r="D16" s="24" t="n">
        <x:v>-0.1299</x:v>
      </x:c>
      <x:c r="E16" s="25" t="inlineStr">
        <x:is>
          <x:t xml:space="preserve">PortfoliosLab monthly total-return table</x:t>
        </x:is>
      </x:c>
    </x:row>
    <x:row r="17">
      <x:c r="A17" s="23" t="n">
        <x:v>44592</x:v>
      </x:c>
      <x:c r="B17" s="24" t="n">
        <x:v>0.0283</x:v>
      </x:c>
      <x:c r="C17" s="24" t="n">
        <x:v>0.0346</x:v>
      </x:c>
      <x:c r="D17" s="24" t="n">
        <x:v>-0.1695</x:v>
      </x:c>
      <x:c r="E17" s="25" t="inlineStr">
        <x:is>
          <x:t xml:space="preserve">PortfoliosLab monthly total-return table</x:t>
        </x:is>
      </x:c>
    </x:row>
    <x:row r="18">
      <x:c r="A18" s="23" t="n">
        <x:v>44620</x:v>
      </x:c>
      <x:c r="B18" s="24" t="n">
        <x:v>-0.0524</x:v>
      </x:c>
      <x:c r="C18" s="24" t="n">
        <x:v>0.0034</x:v>
      </x:c>
      <x:c r="D18" s="24" t="n">
        <x:v>0.0723</x:v>
      </x:c>
      <x:c r="E18" s="25" t="inlineStr">
        <x:is>
          <x:t xml:space="preserve">PortfoliosLab monthly total-return table</x:t>
        </x:is>
      </x:c>
    </x:row>
    <x:row r="19">
      <x:c r="A19" s="23" t="n">
        <x:v>44651</x:v>
      </x:c>
      <x:c r="B19" s="24" t="n">
        <x:v>-0.11</x:v>
      </x:c>
      <x:c r="C19" s="24" t="n">
        <x:v>-0.0906</x:v>
      </x:c>
      <x:c r="D19" s="24" t="n">
        <x:v>-0.0548</x:v>
      </x:c>
      <x:c r="E19" s="25" t="inlineStr">
        <x:is>
          <x:t xml:space="preserve">PortfoliosLab monthly total-return table</x:t>
        </x:is>
      </x:c>
    </x:row>
    <x:row r="20">
      <x:c r="A20" s="23" t="n">
        <x:v>44681</x:v>
      </x:c>
      <x:c r="B20" s="24" t="n">
        <x:v>-0.1123</x:v>
      </x:c>
      <x:c r="C20" s="24" t="n">
        <x:v>0.0516</x:v>
      </x:c>
      <x:c r="D20" s="24" t="n">
        <x:v>0.0508</x:v>
      </x:c>
      <x:c r="E20" s="25" t="inlineStr">
        <x:is>
          <x:t xml:space="preserve">PortfoliosLab monthly total-return table</x:t>
        </x:is>
      </x:c>
    </x:row>
    <x:row r="21">
      <x:c r="A21" s="23" t="n">
        <x:v>44712</x:v>
      </x:c>
      <x:c r="B21" s="24" t="n">
        <x:v>0.1294</x:v>
      </x:c>
      <x:c r="C21" s="24" t="n">
        <x:v>0.066</x:v>
      </x:c>
      <x:c r="D21" s="24" t="n">
        <x:v>0.1874</x:v>
      </x:c>
      <x:c r="E21" s="25" t="inlineStr">
        <x:is>
          <x:t xml:space="preserve">PortfoliosLab monthly total-return table</x:t>
        </x:is>
      </x:c>
    </x:row>
    <x:row r="22">
      <x:c r="A22" s="23" t="n">
        <x:v>44742</x:v>
      </x:c>
      <x:c r="B22" s="24" t="n">
        <x:v>-0.1815</x:v>
      </x:c>
      <x:c r="C22" s="24" t="n">
        <x:v>-0.1659</x:v>
      </x:c>
      <x:c r="D22" s="24" t="n">
        <x:v>0.1219</x:v>
      </x:c>
      <x:c r="E22" s="25" t="inlineStr">
        <x:is>
          <x:t xml:space="preserve">PortfoliosLab monthly total-return table</x:t>
        </x:is>
      </x:c>
    </x:row>
    <x:row r="23">
      <x:c r="A23" s="23" t="n">
        <x:v>44773</x:v>
      </x:c>
      <x:c r="B23" s="24" t="n">
        <x:v>0.1634</x:v>
      </x:c>
      <x:c r="C23" s="24" t="n">
        <x:v>0.0362</x:v>
      </x:c>
      <x:c r="D23" s="24" t="n">
        <x:v>-0.09039999999999999</x:v>
      </x:c>
      <x:c r="E23" s="25" t="inlineStr">
        <x:is>
          <x:t xml:space="preserve">PortfoliosLab monthly total-return table</x:t>
        </x:is>
      </x:c>
    </x:row>
    <x:row r="24">
      <x:c r="A24" s="23" t="n">
        <x:v>44804</x:v>
      </x:c>
      <x:c r="B24" s="24" t="n">
        <x:v>-0.0682</x:v>
      </x:c>
      <x:c r="C24" s="24" t="n">
        <x:v>-0.0192</x:v>
      </x:c>
      <x:c r="D24" s="24" t="n">
        <x:v>-0.152</x:v>
      </x:c>
      <x:c r="E24" s="25" t="inlineStr">
        <x:is>
          <x:t xml:space="preserve">PortfoliosLab monthly total-return table</x:t>
        </x:is>
      </x:c>
    </x:row>
    <x:row r="25">
      <x:c r="A25" s="23" t="n">
        <x:v>44834</x:v>
      </x:c>
      <x:c r="B25" s="24" t="n">
        <x:v>-0.1164</x:v>
      </x:c>
      <x:c r="C25" s="24" t="n">
        <x:v>-0.0672</x:v>
      </x:c>
      <x:c r="D25" s="24" t="n">
        <x:v>-0.1974</x:v>
      </x:c>
      <x:c r="E25" s="25" t="inlineStr">
        <x:is>
          <x:t xml:space="preserve">PortfoliosLab monthly total-return table</x:t>
        </x:is>
      </x:c>
    </x:row>
    <x:row r="26">
      <x:c r="A26" s="23" t="n">
        <x:v>44865</x:v>
      </x:c>
      <x:c r="B26" s="24" t="n">
        <x:v>0.1419</x:v>
      </x:c>
      <x:c r="C26" s="24" t="n">
        <x:v>0.1194</x:v>
      </x:c>
      <x:c r="D26" s="24" t="n">
        <x:v>-0.09619999999999999</x:v>
      </x:c>
      <x:c r="E26" s="25" t="inlineStr">
        <x:is>
          <x:t xml:space="preserve">PortfoliosLab monthly total-return table</x:t>
        </x:is>
      </x:c>
    </x:row>
    <x:row r="27">
      <x:c r="A27" s="23" t="n">
        <x:v>44895</x:v>
      </x:c>
      <x:c r="B27" s="24" t="n">
        <x:v>0.1553</x:v>
      </x:c>
      <x:c r="C27" s="24" t="n">
        <x:v>0.099</x:v>
      </x:c>
      <x:c r="D27" s="24" t="n">
        <x:v>0.08990000000000001</x:v>
      </x:c>
      <x:c r="E27" s="25" t="inlineStr">
        <x:is>
          <x:t xml:space="preserve">PortfoliosLab monthly total-return table</x:t>
        </x:is>
      </x:c>
    </x:row>
    <x:row r="28">
      <x:c r="A28" s="23" t="n">
        <x:v>44926</x:v>
      </x:c>
      <x:c r="B28" s="24" t="n">
        <x:v>-0.09089999999999999</x:v>
      </x:c>
      <x:c r="C28" s="24" t="n">
        <x:v>-0.0466</x:v>
      </x:c>
      <x:c r="D28" s="24" t="n">
        <x:v>0.005699999999999999</x:v>
      </x:c>
      <x:c r="E28" s="25" t="inlineStr">
        <x:is>
          <x:t xml:space="preserve">PortfoliosLab monthly total-return table</x:t>
        </x:is>
      </x:c>
    </x:row>
    <x:row r="29">
      <x:c r="A29" s="23" t="n">
        <x:v>44957</x:v>
      </x:c>
      <x:c r="B29" s="24" t="n">
        <x:v>0.107</x:v>
      </x:c>
      <x:c r="C29" s="24" t="n">
        <x:v>0.1099</x:v>
      </x:c>
      <x:c r="D29" s="24" t="n">
        <x:v>0.2721</x:v>
      </x:c>
      <x:c r="E29" s="25" t="inlineStr">
        <x:is>
          <x:t xml:space="preserve">PortfoliosLab monthly total-return table</x:t>
        </x:is>
      </x:c>
    </x:row>
    <x:row r="30">
      <x:c r="A30" s="23" t="n">
        <x:v>44985</x:v>
      </x:c>
      <x:c r="B30" s="24" t="n">
        <x:v>0.1145</x:v>
      </x:c>
      <x:c r="C30" s="24" t="n">
        <x:v>0.066</x:v>
      </x:c>
      <x:c r="D30" s="24" t="n">
        <x:v>-0.138</x:v>
      </x:c>
      <x:c r="E30" s="25" t="inlineStr">
        <x:is>
          <x:t xml:space="preserve">PortfoliosLab monthly total-return table</x:t>
        </x:is>
      </x:c>
    </x:row>
    <x:row r="31">
      <x:c r="A31" s="23" t="n">
        <x:v>45016</x:v>
      </x:c>
      <x:c r="B31" s="24" t="n">
        <x:v>0.0382</x:v>
      </x:c>
      <x:c r="C31" s="24" t="n">
        <x:v>-0.0257</x:v>
      </x:c>
      <x:c r="D31" s="24" t="n">
        <x:v>0.08810000000000001</x:v>
      </x:c>
      <x:c r="E31" s="25" t="inlineStr">
        <x:is>
          <x:t xml:space="preserve">PortfoliosLab monthly total-return table</x:t>
        </x:is>
      </x:c>
    </x:row>
    <x:row r="32">
      <x:c r="A32" s="23" t="n">
        <x:v>45046</x:v>
      </x:c>
      <x:c r="B32" s="24" t="n">
        <x:v>-0.0027</x:v>
      </x:c>
      <x:c r="C32" s="24" t="n">
        <x:v>-0.0028</x:v>
      </x:c>
      <x:c r="D32" s="24" t="n">
        <x:v>0.027</x:v>
      </x:c>
      <x:c r="E32" s="25" t="inlineStr">
        <x:is>
          <x:t xml:space="preserve">PortfoliosLab monthly total-return table</x:t>
        </x:is>
      </x:c>
    </x:row>
    <x:row r="33">
      <x:c r="A33" s="23" t="n">
        <x:v>45077</x:v>
      </x:c>
      <x:c r="B33" s="24" t="n">
        <x:v>-0.08</x:v>
      </x:c>
      <x:c r="C33" s="24" t="n">
        <x:v>0.0675</x:v>
      </x:c>
      <x:c r="D33" s="24" t="n">
        <x:v>0.0017</x:v>
      </x:c>
      <x:c r="E33" s="25" t="inlineStr">
        <x:is>
          <x:t xml:space="preserve">PortfoliosLab monthly total-return table</x:t>
        </x:is>
      </x:c>
    </x:row>
    <x:row r="34">
      <x:c r="A34" s="23" t="n">
        <x:v>45107</x:v>
      </x:c>
      <x:c r="B34" s="24" t="n">
        <x:v>0.1464</x:v>
      </x:c>
      <x:c r="C34" s="24" t="n">
        <x:v>0.0559</x:v>
      </x:c>
      <x:c r="D34" s="24" t="n">
        <x:v>0.06280000000000001</x:v>
      </x:c>
      <x:c r="E34" s="25" t="inlineStr">
        <x:is>
          <x:t xml:space="preserve">PortfoliosLab monthly total-return table</x:t>
        </x:is>
      </x:c>
    </x:row>
    <x:row r="35">
      <x:c r="A35" s="23" t="n">
        <x:v>45138</x:v>
      </x:c>
      <x:c r="B35" s="24" t="n">
        <x:v>0.1716</x:v>
      </x:c>
      <x:c r="C35" s="24" t="n">
        <x:v>-0.014</x:v>
      </x:c>
      <x:c r="D35" s="24" t="n">
        <x:v>0.1024</x:v>
      </x:c>
      <x:c r="E35" s="25" t="inlineStr">
        <x:is>
          <x:t xml:space="preserve">PortfoliosLab monthly total-return table</x:t>
        </x:is>
      </x:c>
    </x:row>
    <x:row r="36">
      <x:c r="A36" s="23" t="n">
        <x:v>45169</x:v>
      </x:c>
      <x:c r="B36" s="24" t="n">
        <x:v>-0.0973</x:v>
      </x:c>
      <x:c r="C36" s="24" t="n">
        <x:v>-0.0702</x:v>
      </x:c>
      <x:c r="D36" s="24" t="n">
        <x:v>-0.1081</x:v>
      </x:c>
      <x:c r="E36" s="25" t="inlineStr">
        <x:is>
          <x:t xml:space="preserve">PortfoliosLab monthly total-return table</x:t>
        </x:is>
      </x:c>
    </x:row>
    <x:row r="37">
      <x:c r="A37" s="23" t="n">
        <x:v>45199</x:v>
      </x:c>
      <x:c r="B37" s="24" t="n">
        <x:v>0.0313</x:v>
      </x:c>
      <x:c r="C37" s="24" t="n">
        <x:v>-0.0244</x:v>
      </x:c>
      <x:c r="D37" s="24" t="n">
        <x:v>-0.0155</x:v>
      </x:c>
      <x:c r="E37" s="25" t="inlineStr">
        <x:is>
          <x:t xml:space="preserve">PortfoliosLab monthly total-return table</x:t>
        </x:is>
      </x:c>
    </x:row>
    <x:row r="38">
      <x:c r="A38" s="23" t="n">
        <x:v>45230</x:v>
      </x:c>
      <x:c r="B38" s="24" t="n">
        <x:v>-0.0235</x:v>
      </x:c>
      <x:c r="C38" s="24" t="n">
        <x:v>-0.1587</x:v>
      </x:c>
      <x:c r="D38" s="24" t="n">
        <x:v>-0.019</x:v>
      </x:c>
      <x:c r="E38" s="25" t="inlineStr">
        <x:is>
          <x:t xml:space="preserve">PortfoliosLab monthly total-return table</x:t>
        </x:is>
      </x:c>
    </x:row>
    <x:row r="39">
      <x:c r="A39" s="23" t="n">
        <x:v>45260</x:v>
      </x:c>
      <x:c r="B39" s="24" t="n">
        <x:v>0.1595</x:v>
      </x:c>
      <x:c r="C39" s="24" t="n">
        <x:v>0.07490000000000001</x:v>
      </x:c>
      <x:c r="D39" s="24" t="n">
        <x:v>-0.1154</x:v>
      </x:c>
      <x:c r="E39" s="25" t="inlineStr">
        <x:is>
          <x:t xml:space="preserve">PortfoliosLab monthly total-return table</x:t>
        </x:is>
      </x:c>
    </x:row>
    <x:row r="40">
      <x:c r="A40" s="23" t="n">
        <x:v>45291</x:v>
      </x:c>
      <x:c r="B40" s="24" t="n">
        <x:v>0.0766</x:v>
      </x:c>
      <x:c r="C40" s="24" t="n">
        <x:v>0.0498</x:v>
      </x:c>
      <x:c r="D40" s="24" t="n">
        <x:v>0.021</x:v>
      </x:c>
      <x:c r="E40" s="25" t="inlineStr">
        <x:is>
          <x:t xml:space="preserve">PortfoliosLab monthly total-return table</x:t>
        </x:is>
      </x:c>
    </x:row>
    <x:row r="41">
      <x:c r="A41" s="23" t="n">
        <x:v>45322</x:v>
      </x:c>
      <x:c r="B41" s="24" t="n">
        <x:v>-0.0583</x:v>
      </x:c>
      <x:c r="C41" s="24" t="n">
        <x:v>0.0048</x:v>
      </x:c>
      <x:c r="D41" s="24" t="n">
        <x:v>-0.187</x:v>
      </x:c>
      <x:c r="E41" s="25" t="inlineStr">
        <x:is>
          <x:t xml:space="preserve">PortfoliosLab monthly total-return table</x:t>
        </x:is>
      </x:c>
    </x:row>
    <x:row r="42">
      <x:c r="A42" s="23" t="n">
        <x:v>45351</x:v>
      </x:c>
      <x:c r="B42" s="24" t="n">
        <x:v>0.1958</x:v>
      </x:c>
      <x:c r="C42" s="24" t="n">
        <x:v>0.1717</x:v>
      </x:c>
      <x:c r="D42" s="24" t="n">
        <x:v>0.109</x:v>
      </x:c>
      <x:c r="E42" s="25" t="inlineStr">
        <x:is>
          <x:t xml:space="preserve">PortfoliosLab monthly total-return table</x:t>
        </x:is>
      </x:c>
    </x:row>
    <x:row r="43">
      <x:c r="A43" s="23" t="n">
        <x:v>45382</x:v>
      </x:c>
      <x:c r="B43" s="24" t="n">
        <x:v>0.07769999999999999</x:v>
      </x:c>
      <x:c r="C43" s="24" t="n">
        <x:v>0.0023</x:v>
      </x:c>
      <x:c r="D43" s="24" t="n">
        <x:v>0.0429</x:v>
      </x:c>
      <x:c r="E43" s="25" t="inlineStr">
        <x:is>
          <x:t xml:space="preserve">PortfoliosLab monthly total-return table</x:t>
        </x:is>
      </x:c>
    </x:row>
    <x:row r="44">
      <x:c r="A44" s="23" t="n">
        <x:v>45412</x:v>
      </x:c>
      <x:c r="B44" s="24" t="n">
        <x:v>-0.158</x:v>
      </x:c>
      <x:c r="C44" s="24" t="n">
        <x:v>-0.0389</x:v>
      </x:c>
      <x:c r="D44" s="24" t="n">
        <x:v>0.0694</x:v>
      </x:c>
      <x:c r="E44" s="25" t="inlineStr">
        <x:is>
          <x:t xml:space="preserve">PortfoliosLab monthly total-return table</x:t>
        </x:is>
      </x:c>
    </x:row>
    <x:row r="45">
      <x:c r="A45" s="23" t="n">
        <x:v>45443</x:v>
      </x:c>
      <x:c r="B45" s="24" t="n">
        <x:v>-0.0013</x:v>
      </x:c>
      <x:c r="C45" s="24" t="n">
        <x:v>0.009300000000000001</x:v>
      </x:c>
      <x:c r="D45" s="24" t="n">
        <x:v>0.0186</x:v>
      </x:c>
      <x:c r="E45" s="25" t="inlineStr">
        <x:is>
          <x:t xml:space="preserve">PortfoliosLab monthly total-return table</x:t>
        </x:is>
      </x:c>
    </x:row>
    <x:row r="46">
      <x:c r="A46" s="23" t="n">
        <x:v>45473</x:v>
      </x:c>
      <x:c r="B46" s="24" t="n">
        <x:v>-0.1087</x:v>
      </x:c>
      <x:c r="C46" s="24" t="n">
        <x:v>-0.0276</x:v>
      </x:c>
      <x:c r="D46" s="24" t="n">
        <x:v>0.0725</x:v>
      </x:c>
      <x:c r="E46" s="25" t="inlineStr">
        <x:is>
          <x:t xml:space="preserve">PortfoliosLab monthly total-return table</x:t>
        </x:is>
      </x:c>
    </x:row>
    <x:row r="47">
      <x:c r="A47" s="23" t="n">
        <x:v>45504</x:v>
      </x:c>
      <x:c r="B47" s="24" t="n">
        <x:v>-0.1592</x:v>
      </x:c>
      <x:c r="C47" s="24" t="n">
        <x:v>-0.0528</x:v>
      </x:c>
      <x:c r="D47" s="24" t="n">
        <x:v>-0.0172</x:v>
      </x:c>
      <x:c r="E47" s="25" t="inlineStr">
        <x:is>
          <x:t xml:space="preserve">PortfoliosLab monthly total-return table</x:t>
        </x:is>
      </x:c>
    </x:row>
    <x:row r="48">
      <x:c r="A48" s="23" t="n">
        <x:v>45535</x:v>
      </x:c>
      <x:c r="B48" s="24" t="n">
        <x:v>0.0054</x:v>
      </x:c>
      <x:c r="C48" s="24" t="n">
        <x:v>0.0193</x:v>
      </x:c>
      <x:c r="D48" s="24" t="n">
        <x:v>0.0579</x:v>
      </x:c>
      <x:c r="E48" s="25" t="inlineStr">
        <x:is>
          <x:t xml:space="preserve">PortfoliosLab monthly total-return table</x:t>
        </x:is>
      </x:c>
    </x:row>
    <x:row r="49">
      <x:c r="A49" s="23" t="n">
        <x:v>45565</x:v>
      </x:c>
      <x:c r="B49" s="24" t="n">
        <x:v>-0.1627</x:v>
      </x:c>
      <x:c r="C49" s="24" t="n">
        <x:v>-0.06900000000000001</x:v>
      </x:c>
      <x:c r="D49" s="24" t="n">
        <x:v>0.1766</x:v>
      </x:c>
      <x:c r="E49" s="25" t="inlineStr">
        <x:is>
          <x:t xml:space="preserve">PortfoliosLab monthly total-return table</x:t>
        </x:is>
      </x:c>
    </x:row>
    <x:row r="50">
      <x:c r="A50" s="23" t="n">
        <x:v>45596</x:v>
      </x:c>
      <x:c r="B50" s="24" t="n">
        <x:v>-0.0306</x:v>
      </x:c>
      <x:c r="C50" s="24" t="n">
        <x:v>-0.0403</x:v>
      </x:c>
      <x:c r="D50" s="24" t="n">
        <x:v>-0.008500000000000001</x:v>
      </x:c>
      <x:c r="E50" s="25" t="inlineStr">
        <x:is>
          <x:t xml:space="preserve">PortfoliosLab monthly total-return table</x:t>
        </x:is>
      </x:c>
    </x:row>
    <x:row r="51">
      <x:c r="A51" s="23" t="n">
        <x:v>45626</x:v>
      </x:c>
      <x:c r="B51" s="24" t="n">
        <x:v>-0.0308</x:v>
      </x:c>
      <x:c r="C51" s="24" t="n">
        <x:v>-0.0492</x:v>
      </x:c>
      <x:c r="D51" s="24" t="n">
        <x:v>-0.09880000000000001</x:v>
      </x:c>
      <x:c r="E51" s="25" t="inlineStr">
        <x:is>
          <x:t xml:space="preserve">PortfoliosLab monthly total-return table</x:t>
        </x:is>
      </x:c>
    </x:row>
    <x:row r="52">
      <x:c r="A52" s="23" t="n">
        <x:v>45657</x:v>
      </x:c>
      <x:c r="B52" s="24" t="n">
        <x:v>-0.0114</x:v>
      </x:c>
      <x:c r="C52" s="24" t="n">
        <x:v>0.0159</x:v>
      </x:c>
      <x:c r="D52" s="24" t="n">
        <x:v>0.0513</x:v>
      </x:c>
      <x:c r="E52" s="25" t="inlineStr">
        <x:is>
          <x:t xml:space="preserve">PortfoliosLab monthly total-return table</x:t>
        </x:is>
      </x:c>
    </x:row>
    <x:row r="53">
      <x:c r="A53" s="23" t="n">
        <x:v>45688</x:v>
      </x:c>
      <x:c r="B53" s="24" t="n">
        <x:v>0.0061</x:v>
      </x:c>
      <x:c r="C53" s="24" t="n">
        <x:v>0.09519999999999999</x:v>
      </x:c>
      <x:c r="D53" s="24" t="n">
        <x:v>0.024</x:v>
      </x:c>
      <x:c r="E53" s="25" t="inlineStr">
        <x:is>
          <x:t xml:space="preserve">PortfoliosLab monthly total-return table</x:t>
        </x:is>
      </x:c>
    </x:row>
    <x:row r="54">
      <x:c r="A54" s="23" t="n">
        <x:v>45716</x:v>
      </x:c>
      <x:c r="B54" s="24" t="n">
        <x:v>-0.0312</x:v>
      </x:c>
      <x:c r="C54" s="24" t="n">
        <x:v>0.0144</x:v>
      </x:c>
      <x:c r="D54" s="24" t="n">
        <x:v>0.3612</x:v>
      </x:c>
      <x:c r="E54" s="25" t="inlineStr">
        <x:is>
          <x:t xml:space="preserve">PortfoliosLab monthly total-return table</x:t>
        </x:is>
      </x:c>
    </x:row>
    <x:row r="55">
      <x:c r="A55" s="23" t="n">
        <x:v>45747</x:v>
      </x:c>
      <x:c r="B55" s="24" t="n">
        <x:v>-0.1187</x:v>
      </x:c>
      <x:c r="C55" s="24" t="n">
        <x:v>-0.0934</x:v>
      </x:c>
      <x:c r="D55" s="24" t="n">
        <x:v>0.0571</x:v>
      </x:c>
      <x:c r="E55" s="25" t="inlineStr">
        <x:is>
          <x:t xml:space="preserve">PortfoliosLab monthly total-return table</x:t>
        </x:is>
      </x:c>
    </x:row>
    <x:row r="56">
      <x:c r="A56" s="23" t="n">
        <x:v>45777</x:v>
      </x:c>
      <x:c r="B56" s="24" t="n">
        <x:v>-0.0159</x:v>
      </x:c>
      <x:c r="C56" s="24" t="n">
        <x:v>-0.0317</x:v>
      </x:c>
      <x:c r="D56" s="24" t="n">
        <x:v>-0.0575</x:v>
      </x:c>
      <x:c r="E56" s="25" t="inlineStr">
        <x:is>
          <x:t xml:space="preserve">PortfoliosLab monthly total-return table</x:t>
        </x:is>
      </x:c>
    </x:row>
    <x:row r="57">
      <x:c r="A57" s="23" t="n">
        <x:v>45808</x:v>
      </x:c>
      <x:c r="B57" s="24" t="n">
        <x:v>0.09269999999999999</x:v>
      </x:c>
      <x:c r="C57" s="24" t="n">
        <x:v>0.08900000000000001</x:v>
      </x:c>
      <x:c r="D57" s="24" t="n">
        <x:v>0.061</x:v>
      </x:c>
      <x:c r="E57" s="25" t="inlineStr">
        <x:is>
          <x:t xml:space="preserve">PortfoliosLab monthly total-return table</x:t>
        </x:is>
      </x:c>
    </x:row>
    <x:row r="58">
      <x:c r="A58" s="23" t="n">
        <x:v>45838</x:v>
      </x:c>
      <x:c r="B58" s="24" t="n">
        <x:v>-0.0108</x:v>
      </x:c>
      <x:c r="C58" s="24" t="n">
        <x:v>-0.0551</x:v>
      </x:c>
      <x:c r="D58" s="24" t="n">
        <x:v>-0.0327</x:v>
      </x:c>
      <x:c r="E58" s="25" t="inlineStr">
        <x:is>
          <x:t xml:space="preserve">PortfoliosLab monthly total-return table</x:t>
        </x:is>
      </x:c>
    </x:row>
    <x:row r="59">
      <x:c r="A59" s="23" t="n">
        <x:v>45869</x:v>
      </x:c>
      <x:c r="B59" s="24" t="n">
        <x:v>-0.1137</x:v>
      </x:c>
      <x:c r="C59" s="24" t="n">
        <x:v>0.0083</x:v>
      </x:c>
      <x:c r="D59" s="24" t="n">
        <x:v>-0.058</x:v>
      </x:c>
      <x:c r="E59" s="25" t="inlineStr">
        <x:is>
          <x:t xml:space="preserve">PortfoliosLab monthly total-return table</x:t>
        </x:is>
      </x:c>
    </x:row>
    <x:row r="60">
      <x:c r="A60" s="23" t="n">
        <x:v>45900</x:v>
      </x:c>
      <x:c r="B60" s="24" t="n">
        <x:v>0.0832</x:v>
      </x:c>
      <x:c r="C60" s="24" t="n">
        <x:v>0.0649</x:v>
      </x:c>
      <x:c r="D60" s="24" t="n">
        <x:v>-0.008699999999999999</x:v>
      </x:c>
      <x:c r="E60" s="25" t="inlineStr">
        <x:is>
          <x:t xml:space="preserve">PortfoliosLab monthly total-return table</x:t>
        </x:is>
      </x:c>
    </x:row>
    <x:row r="61">
      <x:c r="A61" s="23" t="n">
        <x:v>45930</x:v>
      </x:c>
      <x:c r="B61" s="24" t="n">
        <x:v>-0.0301</x:v>
      </x:c>
      <x:c r="C61" s="24" t="n">
        <x:v>0.0022</x:v>
      </x:c>
      <x:c r="D61" s="24" t="n">
        <x:v>-0.0367</x:v>
      </x:c>
      <x:c r="E61" s="25" t="inlineStr">
        <x:is>
          <x:t xml:space="preserve">PortfoliosLab monthly total-return table</x:t>
        </x:is>
      </x:c>
    </x:row>
    <x:row r="62">
      <x:c r="A62" s="23" t="n">
        <x:v>45961</x:v>
      </x:c>
      <x:c r="B62" s="24" t="n">
        <x:v>0.0857</x:v>
      </x:c>
      <x:c r="C62" s="24" t="n">
        <x:v>0.0512</x:v>
      </x:c>
      <x:c r="D62" s="24" t="n">
        <x:v>-0.08710000000000001</x:v>
      </x:c>
      <x:c r="E62" s="25" t="inlineStr">
        <x:is>
          <x:t xml:space="preserve">PortfoliosLab monthly total-return table</x:t>
        </x:is>
      </x:c>
    </x:row>
    <x:row r="63">
      <x:c r="A63" s="23" t="n">
        <x:v>45991</x:v>
      </x:c>
      <x:c r="B63" s="24" t="n">
        <x:v>0.0513</x:v>
      </x:c>
      <x:c r="C63" s="24" t="n">
        <x:v>0.0347</x:v>
      </x:c>
      <x:c r="D63" s="24" t="n">
        <x:v>-0.0308</x:v>
      </x:c>
      <x:c r="E63" s="25" t="inlineStr">
        <x:is>
          <x:t xml:space="preserve">PortfoliosLab monthly total-return table</x:t>
        </x:is>
      </x:c>
    </x:row>
    <x:row r="64">
      <x:c r="A64" s="23" t="n">
        <x:v>46022</x:v>
      </x:c>
      <x:c r="B64" s="24" t="n">
        <x:v>0.0216</x:v>
      </x:c>
      <x:c r="C64" s="24" t="n">
        <x:v>0.0328</x:v>
      </x:c>
      <x:c r="D64" s="24" t="n">
        <x:v>-0.0221</x:v>
      </x:c>
      <x:c r="E64" s="25" t="inlineStr">
        <x:is>
          <x:t xml:space="preserve">PortfoliosLab monthly total-return table</x:t>
        </x:is>
      </x:c>
    </x:row>
    <x:row r="65">
      <x:c r="A65" s="23" t="n">
        <x:v>46053</x:v>
      </x:c>
      <x:c r="B65" s="24" t="n">
        <x:v>-0.09369999999999999</x:v>
      </x:c>
      <x:c r="C65" s="24" t="n">
        <x:v>-0.038</x:v>
      </x:c>
      <x:c r="D65" s="24" t="n">
        <x:v>0.0252</x:v>
      </x:c>
      <x:c r="E65" s="25" t="inlineStr">
        <x:is>
          <x:t xml:space="preserve">PortfoliosLab monthly total-return table</x:t>
        </x:is>
      </x:c>
    </x:row>
    <x:row r="66">
      <x:c r="A66" s="23" t="n">
        <x:v>46081</x:v>
      </x:c>
      <x:c r="B66" s="24" t="n">
        <x:v>-0.1803</x:v>
      </x:c>
      <x:c r="C66" s="24" t="n">
        <x:v>0.0209</x:v>
      </x:c>
      <x:c r="D66" s="24" t="n">
        <x:v>-0.0286</x:v>
      </x:c>
      <x:c r="E66" s="25" t="inlineStr">
        <x:is>
          <x:t xml:space="preserve">PortfoliosLab monthly total-return table</x:t>
        </x:is>
      </x:c>
    </x:row>
    <x:row r="67">
      <x:c r="A67" s="23" t="n">
        <x:v>46112</x:v>
      </x:c>
      <x:c r="B67" s="24" t="n">
        <x:v>-0.1236</x:v>
      </x:c>
      <x:c r="C67" s="24" t="n">
        <x:v>-0.112</x:v>
      </x:c>
      <x:c r="D67" s="24" t="n">
        <x:v>0.1143</x:v>
      </x:c>
      <x:c r="E67" s="25" t="inlineStr">
        <x:is>
          <x:t xml:space="preserve">PortfoliosLab monthly total-return table</x:t>
        </x:is>
      </x:c>
    </x:row>
    <x:row r="68">
      <x:c r="A68" s="23" t="n">
        <x:v>46142</x:v>
      </x:c>
      <x:c r="B68" s="24" t="n">
        <x:v>0.09449999999999999</x:v>
      </x:c>
      <x:c r="C68" s="24" t="n">
        <x:v>0.0382</x:v>
      </x:c>
      <x:c r="D68" s="24" t="n">
        <x:v>0.0095</x:v>
      </x:c>
      <x:c r="E68" s="25" t="inlineStr">
        <x:is>
          <x:t xml:space="preserve">PortfoliosLab monthly total-return table</x:t>
        </x:is>
      </x:c>
    </x:row>
    <x:row r="72">
      <x:c r="A72" s="20" t="inlineStr">
        <x:is>
          <x:t xml:space="preserve">Primary source URLs</x:t>
        </x:is>
      </x:c>
    </x:row>
    <x:row r="73">
      <x:c r="A73" s="26" t="inlineStr">
        <x:is>
          <x:t xml:space="preserve">https://portfolioslab.com/symbol/STLA</x:t>
        </x:is>
      </x:c>
    </x:row>
    <x:row r="74">
      <x:c r="A74" s="26" t="inlineStr">
        <x:is>
          <x:t xml:space="preserve">https://portfolioslab.com/symbol/MBG.DE</x:t>
        </x:is>
      </x:c>
    </x:row>
    <x:row r="75">
      <x:c r="A75" s="26" t="inlineStr">
        <x:is>
          <x:t xml:space="preserve">https://portfolioslab.com/symbol/1211.HK</x:t>
        </x:is>
      </x:c>
    </x:row>
  </x:sheetData>
  <x:mergeCells>
    <x:mergeCell ref="A1:E2"/>
  </x:mergeCells>
  <x:pageMargins left="0.7" right="0.7" top="0.75" bottom="0.75" header="0.3" footer="0.3"/>
  <x:legacyDrawing xmlns:r="http://schemas.openxmlformats.org/officeDocument/2006/relationships" r:id="Rb1ebdba7122f4612"/>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3" customWidth="1"/>
    <x:col min="2" max="2" width="12" customWidth="1"/>
    <x:col min="3" max="3" width="13" customWidth="1"/>
    <x:col min="4" max="4" width="13" customWidth="1"/>
    <x:col min="5" max="5" width="12" customWidth="1"/>
    <x:col min="6" max="6" width="13" customWidth="1"/>
    <x:col min="7" max="7" width="13" customWidth="1"/>
    <x:col min="8" max="8" width="12" customWidth="1"/>
    <x:col min="9" max="9" width="13" customWidth="1"/>
    <x:col min="10" max="10" width="13" customWidth="1"/>
    <x:col min="11" max="11" width="2" customWidth="1"/>
    <x:col min="12" max="12" width="20" customWidth="1"/>
    <x:col min="13" max="13" width="13" customWidth="1"/>
  </x:cols>
  <x:sheetData>
    <x:row r="1">
      <x:c r="A1" s="12" t="inlineStr">
        <x:is>
          <x:t xml:space="preserve">Calculation Engine</x:t>
        </x:is>
      </x:c>
    </x:row>
    <x:row r="2"/>
    <x:row r="3">
      <x:c r="A3" s="13" t="inlineStr">
        <x:is>
          <x:t xml:space="preserve">This sheet transforms raw monthly returns into indexed performance and risk metrics.</x:t>
        </x:is>
      </x:c>
    </x:row>
    <x:row r="5">
      <x:c r="A5" s="27" t="inlineStr">
        <x:is>
          <x:t xml:space="preserve">Date</x:t>
        </x:is>
      </x:c>
      <x:c r="B5" s="27" t="inlineStr">
        <x:is>
          <x:t xml:space="preserve">STLA index</x:t>
        </x:is>
      </x:c>
      <x:c r="C5" s="27" t="inlineStr">
        <x:is>
          <x:t xml:space="preserve">STLA drawdown</x:t>
        </x:is>
      </x:c>
      <x:c r="D5" s="27" t="inlineStr">
        <x:is>
          <x:t xml:space="preserve">MBG index</x:t>
        </x:is>
      </x:c>
      <x:c r="E5" s="27" t="inlineStr">
        <x:is>
          <x:t xml:space="preserve">MBG drawdown</x:t>
        </x:is>
      </x:c>
      <x:c r="F5" s="27" t="inlineStr">
        <x:is>
          <x:t xml:space="preserve">BYD index</x:t>
        </x:is>
      </x:c>
      <x:c r="G5" s="27" t="inlineStr">
        <x:is>
          <x:t xml:space="preserve">BYD drawdown</x:t>
        </x:is>
      </x:c>
      <x:c r="L5" s="20" t="inlineStr">
        <x:is>
          <x:t xml:space="preserve">Metric</x:t>
        </x:is>
      </x:c>
      <x:c r="M5" s="20" t="inlineStr">
        <x:is>
          <x:t xml:space="preserve">Stellantis</x:t>
        </x:is>
      </x:c>
      <x:c r="N5" s="20" t="inlineStr">
        <x:is>
          <x:t xml:space="preserve">Mercedes-Benz</x:t>
        </x:is>
      </x:c>
      <x:c r="O5" s="20" t="inlineStr">
        <x:is>
          <x:t xml:space="preserve">BYD</x:t>
        </x:is>
      </x:c>
    </x:row>
    <x:row r="6">
      <x:c r="A6" s="28" t="n">
        <x:v>44196</x:v>
      </x:c>
      <x:c r="B6" s="29" t="n">
        <x:v>100</x:v>
      </x:c>
      <x:c r="C6" s="30" t="n">
        <x:v>0</x:v>
      </x:c>
      <x:c r="D6" s="29" t="n">
        <x:v>100</x:v>
      </x:c>
      <x:c r="E6" s="30" t="n">
        <x:v>0</x:v>
      </x:c>
      <x:c r="F6" s="29" t="n">
        <x:v>100</x:v>
      </x:c>
      <x:c r="G6" s="30" t="n">
        <x:v>0</x:v>
      </x:c>
      <x:c r="L6" s="31" t="inlineStr">
        <x:is>
          <x:t xml:space="preserve">Index level (base=100)</x:t>
        </x:is>
      </x:c>
      <x:c r="M6" s="32">
        <x:f>B70</x:f>
        <x:v>70.01946836858056</x:v>
      </x:c>
      <x:c r="N6" s="32">
        <x:f>D70</x:f>
        <x:v>156.3787634170138</x:v>
      </x:c>
      <x:c r="O6" s="32">
        <x:f>F70</x:f>
        <x:v>166.5758032800339</x:v>
      </x:c>
    </x:row>
    <x:row r="7">
      <x:c r="A7" s="23" t="n">
        <x:v>44227</x:v>
      </x:c>
      <x:c r="B7" s="33">
        <x:f>B6*(1+Raw_Returns!B5)</x:f>
        <x:v>89.33</x:v>
      </x:c>
      <x:c r="C7" s="34">
        <x:f>B7/MAX($B$6:B7)-1</x:f>
        <x:v>-0.10670000000000002</x:v>
      </x:c>
      <x:c r="D7" s="33">
        <x:f>D6*(1+Raw_Returns!C5)</x:f>
        <x:v>100.57000000000001</x:v>
      </x:c>
      <x:c r="E7" s="34">
        <x:f>D7/MAX($D$6:D7)-1</x:f>
        <x:v>0</x:v>
      </x:c>
      <x:c r="F7" s="33">
        <x:f>F6*(1+Raw_Returns!D5)</x:f>
        <x:v>116.82999999999998</x:v>
      </x:c>
      <x:c r="G7" s="34">
        <x:f>F7/MAX($F$6:F7)-1</x:f>
        <x:v>0</x:v>
      </x:c>
      <x:c r="L7" s="35" t="inlineStr">
        <x:is>
          <x:t xml:space="preserve">YTD return</x:t>
        </x:is>
      </x:c>
      <x:c r="M7" s="36">
        <x:f>B70/B66-1</x:f>
        <x:v>-0.287401260384622</x:v>
      </x:c>
      <x:c r="N7" s="36">
        <x:f>D70/D66-1</x:f>
        <x:v>-0.09457544949471997</x:v>
      </x:c>
      <x:c r="O7" s="36">
        <x:f>F70/F66-1</x:f>
        <x:v>0.12025051038018808</x:v>
      </x:c>
    </x:row>
    <x:row r="8">
      <x:c r="A8" s="23" t="n">
        <x:v>44255</x:v>
      </x:c>
      <x:c r="B8" s="33">
        <x:f>B7*(1+Raw_Returns!B6)</x:f>
        <x:v>96.07441499999999</x:v>
      </x:c>
      <x:c r="C8" s="34">
        <x:f>B8/MAX($B$6:B8)-1</x:f>
        <x:v>-0.03925585000000009</x:v>
      </x:c>
      <x:c r="D8" s="33">
        <x:f>D7*(1+Raw_Returns!C6)</x:f>
        <x:v>114.639743</x:v>
      </x:c>
      <x:c r="E8" s="34">
        <x:f>D8/MAX($D$6:D8)-1</x:f>
        <x:v>0</x:v>
      </x:c>
      <x:c r="F8" s="33">
        <x:f>F7*(1+Raw_Returns!D6)</x:f>
        <x:v>97.05068099999998</x:v>
      </x:c>
      <x:c r="G8" s="34">
        <x:f>F8/MAX($F$6:F8)-1</x:f>
        <x:v>-0.1693</x:v>
      </x:c>
      <x:c r="L8" s="35" t="inlineStr">
        <x:is>
          <x:t xml:space="preserve">1Y return</x:t>
        </x:is>
      </x:c>
      <x:c r="M8" s="36">
        <x:f>B70/B58-1</x:f>
        <x:v>-0.16369662947280017</x:v>
      </x:c>
      <x:c r="N8" s="36">
        <x:f>D70/D58-1</x:f>
        <x:v>0.12625055528787388</x:v>
      </x:c>
      <x:c r="O8" s="36">
        <x:f>F70/F58-1</x:f>
        <x:v>-0.10517038270281664</x:v>
      </x:c>
    </x:row>
    <x:row r="9">
      <x:c r="A9" s="23" t="n">
        <x:v>44286</x:v>
      </x:c>
      <x:c r="B9" s="33">
        <x:f>B8*(1+Raw_Returns!B7)</x:f>
        <x:v>104.99972815349999</x:v>
      </x:c>
      <x:c r="C9" s="34">
        <x:f>B9/MAX($B$6:B9)-1</x:f>
        <x:v>0</x:v>
      </x:c>
      <x:c r="D9" s="33">
        <x:f>D8*(1+Raw_Returns!C7)</x:f>
        <x:v>131.5261771439</x:v>
      </x:c>
      <x:c r="E9" s="34">
        <x:f>D9/MAX($D$6:D9)-1</x:f>
        <x:v>0</x:v>
      </x:c>
      <x:c r="F9" s="33">
        <x:f>F8*(1+Raw_Returns!D7)</x:f>
        <x:v>81.15377945219998</x:v>
      </x:c>
      <x:c r="G9" s="34">
        <x:f>F9/MAX($F$6:F9)-1</x:f>
        <x:v>-0.30536866000000007</x:v>
      </x:c>
      <x:c r="L9" s="35" t="inlineStr">
        <x:is>
          <x:t xml:space="preserve">3Y CAGR</x:t>
        </x:is>
      </x:c>
      <x:c r="M9" s="36">
        <x:f>(B70/B34)^(1/3)-1</x:f>
        <x:v>-0.15994634025648724</x:v>
      </x:c>
      <x:c r="N9" s="36">
        <x:f>(D70/D34)^(1/3)-1</x:f>
        <x:v>-0.008396317571392586</x:v>
      </x:c>
      <x:c r="O9" s="36">
        <x:f>(F70/F34)^(1/3)-1</x:f>
        <x:v>0.1272379102597756</x:v>
      </x:c>
    </x:row>
    <x:row r="10">
      <x:c r="A10" s="23" t="n">
        <x:v>44316</x:v>
      </x:c>
      <x:c r="B10" s="33">
        <x:f>B9*(1+Raw_Returns!B8)</x:f>
        <x:v>99.88624139242454</x:v>
      </x:c>
      <x:c r="C10" s="34">
        <x:f>B10/MAX($B$6:B10)-1</x:f>
        <x:v>-0.048699999999999966</x:v>
      </x:c>
      <x:c r="D10" s="33">
        <x:f>D9*(1+Raw_Returns!C8)</x:f>
        <x:v>130.44766249132002</x:v>
      </x:c>
      <x:c r="E10" s="34">
        <x:f>D10/MAX($D$6:D10)-1</x:f>
        <x:v>-0.008199999999999874</x:v>
      </x:c>
      <x:c r="F10" s="33">
        <x:f>F9*(1+Raw_Returns!D8)</x:f>
        <x:v>78.8895890054836</x:v>
      </x:c>
      <x:c r="G10" s="34">
        <x:f>F10/MAX($F$6:F10)-1</x:f>
        <x:v>-0.3247488743860001</x:v>
      </x:c>
      <x:c r="L10" s="31" t="inlineStr">
        <x:is>
          <x:t xml:space="preserve">5Y CAGR</x:t>
        </x:is>
      </x:c>
      <x:c r="M10" s="36">
        <x:f>(B70/B10)^(1/5)-1</x:f>
        <x:v>-0.06858628731941918</x:v>
      </x:c>
      <x:c r="N10" s="36">
        <x:f>(D70/D10)^(1/5)-1</x:f>
        <x:v>0.03692726659582202</x:v>
      </x:c>
      <x:c r="O10" s="36">
        <x:f>(F70/F10)^(1/5)-1</x:f>
        <x:v>0.16123052778043245</x:v>
      </x:c>
    </x:row>
    <x:row r="11">
      <x:c r="A11" s="23" t="n">
        <x:v>44347</x:v>
      </x:c>
      <x:c r="B11" s="33">
        <x:f>B10*(1+Raw_Returns!B9)</x:f>
        <x:v>117.97563970859262</x:v>
      </x:c>
      <x:c r="C11" s="34">
        <x:f>B11/MAX($B$6:B11)-1</x:f>
        <x:v>0</x:v>
      </x:c>
      <x:c r="D11" s="33">
        <x:f>D10*(1+Raw_Returns!C9)</x:f>
        <x:v>134.17846563857177</x:v>
      </x:c>
      <x:c r="E11" s="34">
        <x:f>D11/MAX($D$6:D11)-1</x:f>
        <x:v>0</x:v>
      </x:c>
      <x:c r="F11" s="33">
        <x:f>F10*(1+Raw_Returns!D9)</x:f>
        <x:v>88.58511949425754</x:v>
      </x:c>
      <x:c r="G11" s="34">
        <x:f>F11/MAX($F$6:F11)-1</x:f>
        <x:v>-0.24176051104803942</x:v>
      </x:c>
      <x:c r="L11" s="31" t="inlineStr">
        <x:is>
          <x:t xml:space="preserve">1Y annualized volatility</x:t>
        </x:is>
      </x:c>
      <x:c r="M11" s="36">
        <x:f>STDEV.S(Raw_Returns!B57:Raw_Returns!B68)*SQRT(12)</x:f>
        <x:v>0.3370547514196253</x:v>
      </x:c>
      <x:c r="N11" s="36">
        <x:f>STDEV.S(Raw_Returns!C57:Raw_Returns!C68)*SQRT(12)</x:f>
        <x:v>0.19389351107338182</x:v>
      </x:c>
      <x:c r="O11" s="36">
        <x:f>STDEV.S(Raw_Returns!D57:Raw_Returns!D68)*SQRT(12)</x:f>
        <x:v>0.18817997913023196</x:v>
      </x:c>
    </x:row>
    <x:row r="12">
      <x:c r="A12" s="23" t="n">
        <x:v>44377</x:v>
      </x:c>
      <x:c r="B12" s="33">
        <x:f>B11*(1+Raw_Returns!B10)</x:f>
        <x:v>118.8250643144945</x:v>
      </x:c>
      <x:c r="C12" s="34">
        <x:f>B12/MAX($B$6:B12)-1</x:f>
        <x:v>0</x:v>
      </x:c>
      <x:c r="D12" s="33">
        <x:f>D11*(1+Raw_Returns!C10)</x:f>
        <x:v>132.64883113029205</x:v>
      </x:c>
      <x:c r="E12" s="34">
        <x:f>D12/MAX($D$6:D12)-1</x:f>
        <x:v>-0.011399999999999966</x:v>
      </x:c>
      <x:c r="F12" s="33">
        <x:f>F11*(1+Raw_Returns!D10)</x:f>
        <x:v>114.38110629098533</x:v>
      </x:c>
      <x:c r="G12" s="34">
        <x:f>F12/MAX($F$6:F12)-1</x:f>
        <x:v>-0.02096117186522861</x:v>
      </x:c>
      <x:c r="L12" s="31" t="inlineStr">
        <x:is>
          <x:t xml:space="preserve">Max drawdown</x:t>
        </x:is>
      </x:c>
      <x:c r="M12" s="36">
        <x:f>MIN(C6:C70)</x:f>
        <x:v>-0.681721639507006</x:v>
      </x:c>
      <x:c r="N12" s="36">
        <x:f>MIN(E6:E70)</x:f>
        <x:v>-0.2475300909792162</x:v>
      </x:c>
      <x:c r="O12" s="36">
        <x:f>MIN(G6:G70)</x:f>
        <x:v>-0.4421297398568048</x:v>
      </x:c>
    </x:row>
    <x:row r="13">
      <x:c r="A13" s="23" t="n">
        <x:v>44408</x:v>
      </x:c>
      <x:c r="B13" s="33">
        <x:f>B12*(1+Raw_Returns!B11)</x:f>
        <x:v>115.56925755227735</x:v>
      </x:c>
      <x:c r="C13" s="34">
        <x:f>B13/MAX($B$6:B13)-1</x:f>
        <x:v>-0.02739999999999998</x:v>
      </x:c>
      <x:c r="D13" s="33">
        <x:f>D12*(1+Raw_Returns!C11)</x:f>
        <x:v>132.60903648095297</x:v>
      </x:c>
      <x:c r="E13" s="34">
        <x:f>D13/MAX($D$6:D13)-1</x:f>
        <x:v>-0.011696579999999956</x:v>
      </x:c>
      <x:c r="F13" s="33">
        <x:f>F12*(1+Raw_Returns!D11)</x:f>
        <x:v>117.73247270531121</x:v>
      </x:c>
      <x:c r="G13" s="34">
        <x:f>F13/MAX($F$6:F13)-1</x:f>
        <x:v>0</x:v>
      </x:c>
    </x:row>
    <x:row r="14">
      <x:c r="A14" s="23" t="n">
        <x:v>44439</x:v>
      </x:c>
      <x:c r="B14" s="33">
        <x:f>B13*(1+Raw_Returns!B12)</x:f>
        <x:v>120.68897566184323</x:v>
      </x:c>
      <x:c r="C14" s="34">
        <x:f>B14/MAX($B$6:B14)-1</x:f>
        <x:v>0</x:v>
      </x:c>
      <x:c r="D14" s="33">
        <x:f>D13*(1+Raw_Returns!C12)</x:f>
        <x:v>125.80619290948007</x:v>
      </x:c>
      <x:c r="E14" s="34">
        <x:f>D14/MAX($D$6:D14)-1</x:f>
        <x:v>-0.06239654544600004</x:v>
      </x:c>
      <x:c r="F14" s="33">
        <x:f>F13*(1+Raw_Returns!D12)</x:f>
        <x:v>129.7529581685235</x:v>
      </x:c>
      <x:c r="G14" s="34">
        <x:f>F14/MAX($F$6:F14)-1</x:f>
        <x:v>0</x:v>
      </x:c>
    </x:row>
    <x:row r="15">
      <x:c r="A15" s="23" t="n">
        <x:v>44469</x:v>
      </x:c>
      <x:c r="B15" s="33">
        <x:f>B14*(1+Raw_Returns!B13)</x:f>
        <x:v>115.13728278139844</x:v>
      </x:c>
      <x:c r="C15" s="34">
        <x:f>B15/MAX($B$6:B15)-1</x:f>
        <x:v>-0.04600000000000004</x:v>
      </x:c>
      <x:c r="D15" s="33">
        <x:f>D14*(1+Raw_Returns!C13)</x:f>
        <x:v>135.1410124233635</x:v>
      </x:c>
      <x:c r="E15" s="34">
        <x:f>D15/MAX($D$6:D15)-1</x:f>
        <x:v>0</x:v>
      </x:c>
      <x:c r="F15" s="33">
        <x:f>F14*(1+Raw_Returns!D13)</x:f>
        <x:v>119.71007920627977</x:v>
      </x:c>
      <x:c r="G15" s="34">
        <x:f>F15/MAX($F$6:F15)-1</x:f>
        <x:v>-0.07740000000000002</x:v>
      </x:c>
      <x:c r="L15" s="37" t="inlineStr">
        <x:is>
          <x:t xml:space="preserve">Controls / definitions</x:t>
        </x:is>
      </x:c>
    </x:row>
    <x:row r="16">
      <x:c r="A16" s="23" t="n">
        <x:v>44500</x:v>
      </x:c>
      <x:c r="B16" s="33">
        <x:f>B15*(1+Raw_Returns!B14)</x:f>
        <x:v>120.20332322377998</x:v>
      </x:c>
      <x:c r="C16" s="34">
        <x:f>B16/MAX($B$6:B16)-1</x:f>
        <x:v>-0.0040240000000000276</x:v>
      </x:c>
      <x:c r="D16" s="33">
        <x:f>D15*(1+Raw_Returns!C14)</x:f>
        <x:v>151.03359548435103</x:v>
      </x:c>
      <x:c r="E16" s="34">
        <x:f>D16/MAX($D$6:D16)-1</x:f>
        <x:v>0</x:v>
      </x:c>
      <x:c r="F16" s="33">
        <x:f>F15*(1+Raw_Returns!D14)</x:f>
        <x:v>146.1181226791851</x:v>
      </x:c>
      <x:c r="G16" s="34">
        <x:f>F16/MAX($F$6:F16)-1</x:f>
        <x:v>0</x:v>
      </x:c>
      <x:c r="L16" s="35" t="inlineStr">
        <x:is>
          <x:t xml:space="preserve">Base index date</x:t>
        </x:is>
      </x:c>
      <x:c r="M16" s="38" t="inlineStr">
        <x:is>
          <x:t xml:space="preserve">31-Dec-2020</x:t>
        </x:is>
      </x:c>
    </x:row>
    <x:row r="17">
      <x:c r="A17" s="23" t="n">
        <x:v>44530</x:v>
      </x:c>
      <x:c r="B17" s="33">
        <x:f>B16*(1+Raw_Returns!B15)</x:f>
        <x:v>103.26667498154937</x:v>
      </x:c>
      <x:c r="C17" s="34">
        <x:f>B17/MAX($B$6:B17)-1</x:f>
        <x:v>-0.14435701840000004</x:v>
      </x:c>
      <x:c r="D17" s="33">
        <x:f>D16*(1+Raw_Returns!C15)</x:f>
        <x:v>146.20052042885177</x:v>
      </x:c>
      <x:c r="E17" s="34">
        <x:f>D17/MAX($D$6:D17)-1</x:f>
        <x:v>-0.03200000000000014</x:v>
      </x:c>
      <x:c r="F17" s="33">
        <x:f>F16*(1+Raw_Returns!D15)</x:f>
        <x:v>150.94002072759818</x:v>
      </x:c>
      <x:c r="G17" s="34">
        <x:f>F17/MAX($F$6:F17)-1</x:f>
        <x:v>0</x:v>
      </x:c>
      <x:c r="L17" s="35" t="inlineStr">
        <x:is>
          <x:t xml:space="preserve">Chart base</x:t>
        </x:is>
      </x:c>
      <x:c r="M17" s="39" t="inlineStr">
        <x:is>
          <x:t xml:space="preserve">Jan-2021 = 100</x:t>
        </x:is>
      </x:c>
    </x:row>
    <x:row r="18">
      <x:c r="A18" s="23" t="n">
        <x:v>44561</x:v>
      </x:c>
      <x:c r="B18" s="33">
        <x:f>B17*(1+Raw_Returns!B16)</x:f>
        <x:v>113.09766243979287</x:v>
      </x:c>
      <x:c r="C18" s="34">
        <x:f>B18/MAX($B$6:B18)-1</x:f>
        <x:v>-0.06289980655168004</x:v>
      </x:c>
      <x:c r="D18" s="33">
        <x:f>D17*(1+Raw_Returns!C16)</x:f>
        <x:v>142.15076601297258</x:v>
      </x:c>
      <x:c r="E18" s="34">
        <x:f>D18/MAX($D$6:D18)-1</x:f>
        <x:v>-0.05881360000000013</x:v>
      </x:c>
      <x:c r="F18" s="33">
        <x:f>F17*(1+Raw_Returns!D16)</x:f>
        <x:v>131.33291203508318</x:v>
      </x:c>
      <x:c r="G18" s="34">
        <x:f>F18/MAX($F$6:F18)-1</x:f>
        <x:v>-0.12990000000000002</x:v>
      </x:c>
      <x:c r="L18" s="35" t="inlineStr">
        <x:is>
          <x:t xml:space="preserve">Frequency</x:t>
        </x:is>
      </x:c>
      <x:c r="M18" s="39" t="inlineStr">
        <x:is>
          <x:t xml:space="preserve">Monthly</x:t>
        </x:is>
      </x:c>
    </x:row>
    <x:row r="19">
      <x:c r="A19" s="23" t="n">
        <x:v>44592</x:v>
      </x:c>
      <x:c r="B19" s="33">
        <x:f>B18*(1+Raw_Returns!B17)</x:f>
        <x:v>116.29832628683901</x:v>
      </x:c>
      <x:c r="C19" s="34">
        <x:f>B19/MAX($B$6:B19)-1</x:f>
        <x:v>-0.03637987107709251</x:v>
      </x:c>
      <x:c r="D19" s="33">
        <x:f>D18*(1+Raw_Returns!C17)</x:f>
        <x:v>147.06918251702143</x:v>
      </x:c>
      <x:c r="E19" s="34">
        <x:f>D19/MAX($D$6:D19)-1</x:f>
        <x:v>-0.026248550560000083</x:v>
      </x:c>
      <x:c r="F19" s="33">
        <x:f>F18*(1+Raw_Returns!D17)</x:f>
        <x:v>109.07198344513658</x:v>
      </x:c>
      <x:c r="G19" s="34">
        <x:f>F19/MAX($F$6:F19)-1</x:f>
        <x:v>-0.27738195</x:v>
      </x:c>
      <x:c r="L19" s="35" t="inlineStr">
        <x:is>
          <x:t xml:space="preserve">Volatility</x:t>
        </x:is>
      </x:c>
      <x:c r="M19" s="39" t="inlineStr">
        <x:is>
          <x:t xml:space="preserve">Std. dev. of last 12 monthly returns × SQRT(12)</x:t>
        </x:is>
      </x:c>
    </x:row>
    <x:row r="20">
      <x:c r="A20" s="23" t="n">
        <x:v>44620</x:v>
      </x:c>
      <x:c r="B20" s="33">
        <x:f>B19*(1+Raw_Returns!B18)</x:f>
        <x:v>110.20429398940865</x:v>
      </x:c>
      <x:c r="C20" s="34">
        <x:f>B20/MAX($B$6:B20)-1</x:f>
        <x:v>-0.08687356583265282</x:v>
      </x:c>
      <x:c r="D20" s="33">
        <x:f>D19*(1+Raw_Returns!C18)</x:f>
        <x:v>147.56921773757932</x:v>
      </x:c>
      <x:c r="E20" s="34">
        <x:f>D20/MAX($D$6:D20)-1</x:f>
        <x:v>-0.022937795631904012</x:v>
      </x:c>
      <x:c r="F20" s="33">
        <x:f>F19*(1+Raw_Returns!D18)</x:f>
        <x:v>116.95788784821995</x:v>
      </x:c>
      <x:c r="G20" s="34">
        <x:f>F20/MAX($F$6:F20)-1</x:f>
        <x:v>-0.22513666498499996</x:v>
      </x:c>
      <x:c r="L20" s="35" t="inlineStr">
        <x:is>
          <x:t xml:space="preserve">Currency note</x:t>
        </x:is>
      </x:c>
      <x:c r="M20" s="39" t="inlineStr">
        <x:is>
          <x:t xml:space="preserve">Local-currency lines; not FX-normalized</x:t>
        </x:is>
      </x:c>
    </x:row>
    <x:row r="21">
      <x:c r="A21" s="23" t="n">
        <x:v>44651</x:v>
      </x:c>
      <x:c r="B21" s="33">
        <x:f>B20*(1+Raw_Returns!B19)</x:f>
        <x:v>98.0818216505737</x:v>
      </x:c>
      <x:c r="C21" s="34">
        <x:f>B21/MAX($B$6:B21)-1</x:f>
        <x:v>-0.1873174735910611</x:v>
      </x:c>
      <x:c r="D21" s="33">
        <x:f>D20*(1+Raw_Returns!C19)</x:f>
        <x:v>134.19944661055465</x:v>
      </x:c>
      <x:c r="E21" s="34">
        <x:f>D21/MAX($D$6:D21)-1</x:f>
        <x:v>-0.11145963134765347</x:v>
      </x:c>
      <x:c r="F21" s="33">
        <x:f>F20*(1+Raw_Returns!D19)</x:f>
        <x:v>110.54859559413751</x:v>
      </x:c>
      <x:c r="G21" s="34">
        <x:f>F21/MAX($F$6:F21)-1</x:f>
        <x:v>-0.26759917574382197</x:v>
      </x:c>
    </x:row>
    <x:row r="22">
      <x:c r="A22" s="23" t="n">
        <x:v>44681</x:v>
      </x:c>
      <x:c r="B22" s="33">
        <x:f>B21*(1+Raw_Returns!B20)</x:f>
        <x:v>87.06723307921428</x:v>
      </x:c>
      <x:c r="C22" s="34">
        <x:f>B22/MAX($B$6:B22)-1</x:f>
        <x:v>-0.27858172130678494</x:v>
      </x:c>
      <x:c r="D22" s="33">
        <x:f>D21*(1+Raw_Returns!C20)</x:f>
        <x:v>141.12413805565927</x:v>
      </x:c>
      <x:c r="E22" s="34">
        <x:f>D22/MAX($D$6:D22)-1</x:f>
        <x:v>-0.06561094832519232</x:v>
      </x:c>
      <x:c r="F22" s="33">
        <x:f>F21*(1+Raw_Returns!D20)</x:f>
        <x:v>116.1644642503197</x:v>
      </x:c>
      <x:c r="G22" s="34">
        <x:f>F22/MAX($F$6:F22)-1</x:f>
        <x:v>-0.23039321387160805</x:v>
      </x:c>
    </x:row>
    <x:row r="23">
      <x:c r="A23" s="23" t="n">
        <x:v>44712</x:v>
      </x:c>
      <x:c r="B23" s="33">
        <x:f>B22*(1+Raw_Returns!B21)</x:f>
        <x:v>98.3337330396646</x:v>
      </x:c>
      <x:c r="C23" s="34">
        <x:f>B23/MAX($B$6:B23)-1</x:f>
        <x:v>-0.1852301960438829</x:v>
      </x:c>
      <x:c r="D23" s="33">
        <x:f>D22*(1+Raw_Returns!C21)</x:f>
        <x:v>150.4383311673328</x:v>
      </x:c>
      <x:c r="E23" s="34">
        <x:f>D23/MAX($D$6:D23)-1</x:f>
        <x:v>-0.003941270914654904</x:v>
      </x:c>
      <x:c r="F23" s="33">
        <x:f>F22*(1+Raw_Returns!D21)</x:f>
        <x:v>137.93368485082962</x:v>
      </x:c>
      <x:c r="G23" s="34">
        <x:f>F23/MAX($F$6:F23)-1</x:f>
        <x:v>-0.08616890215114736</x:v>
      </x:c>
    </x:row>
    <x:row r="24">
      <x:c r="A24" s="23" t="n">
        <x:v>44742</x:v>
      </x:c>
      <x:c r="B24" s="33">
        <x:f>B23*(1+Raw_Returns!B22)</x:f>
        <x:v>80.48616049296547</x:v>
      </x:c>
      <x:c r="C24" s="34">
        <x:f>B24/MAX($B$6:B24)-1</x:f>
        <x:v>-0.3331109154619182</x:v>
      </x:c>
      <x:c r="D24" s="33">
        <x:f>D23*(1+Raw_Returns!C22)</x:f>
        <x:v>125.48061202667229</x:v>
      </x:c>
      <x:c r="E24" s="34">
        <x:f>D24/MAX($D$6:D24)-1</x:f>
        <x:v>-0.16918741406991367</x:v>
      </x:c>
      <x:c r="F24" s="33">
        <x:f>F23*(1+Raw_Returns!D22)</x:f>
        <x:v>154.74780103414574</x:v>
      </x:c>
      <x:c r="G24" s="34">
        <x:f>F24/MAX($F$6:F24)-1</x:f>
        <x:v>0</x:v>
      </x:c>
    </x:row>
    <x:row r="25">
      <x:c r="A25" s="23" t="n">
        <x:v>44773</x:v>
      </x:c>
      <x:c r="B25" s="33">
        <x:f>B24*(1+Raw_Returns!B23)</x:f>
        <x:v>93.63759911751602</x:v>
      </x:c>
      <x:c r="C25" s="34">
        <x:f>B25/MAX($B$6:B25)-1</x:f>
        <x:v>-0.22414123904839567</x:v>
      </x:c>
      <x:c r="D25" s="33">
        <x:f>D24*(1+Raw_Returns!C23)</x:f>
        <x:v>130.02301018203784</x:v>
      </x:c>
      <x:c r="E25" s="34">
        <x:f>D25/MAX($D$6:D25)-1</x:f>
        <x:v>-0.1391119984592445</x:v>
      </x:c>
      <x:c r="F25" s="33">
        <x:f>F24*(1+Raw_Returns!D23)</x:f>
        <x:v>140.75859982065896</x:v>
      </x:c>
      <x:c r="G25" s="34">
        <x:f>F25/MAX($F$6:F25)-1</x:f>
        <x:v>-0.09040000000000004</x:v>
      </x:c>
    </x:row>
    <x:row r="26">
      <x:c r="A26" s="23" t="n">
        <x:v>44804</x:v>
      </x:c>
      <x:c r="B26" s="33">
        <x:f>B25*(1+Raw_Returns!B24)</x:f>
        <x:v>87.25151485770142</x:v>
      </x:c>
      <x:c r="C26" s="34">
        <x:f>B26/MAX($B$6:B26)-1</x:f>
        <x:v>-0.27705480654529513</x:v>
      </x:c>
      <x:c r="D26" s="33">
        <x:f>D25*(1+Raw_Returns!C24)</x:f>
        <x:v>127.5265683865427</x:v>
      </x:c>
      <x:c r="E26" s="34">
        <x:f>D26/MAX($D$6:D26)-1</x:f>
        <x:v>-0.15564104808882695</x:v>
      </x:c>
      <x:c r="F26" s="33">
        <x:f>F25*(1+Raw_Returns!D24)</x:f>
        <x:v>119.3632926479188</x:v>
      </x:c>
      <x:c r="G26" s="34">
        <x:f>F26/MAX($F$6:F26)-1</x:f>
        <x:v>-0.22865920000000006</x:v>
      </x:c>
    </x:row>
    <x:row r="27">
      <x:c r="A27" s="23" t="n">
        <x:v>44834</x:v>
      </x:c>
      <x:c r="B27" s="33">
        <x:f>B26*(1+Raw_Returns!B25)</x:f>
        <x:v>77.09543852826498</x:v>
      </x:c>
      <x:c r="C27" s="34">
        <x:f>B27/MAX($B$6:B27)-1</x:f>
        <x:v>-0.36120562706342274</x:v>
      </x:c>
      <x:c r="D27" s="33">
        <x:f>D26*(1+Raw_Returns!C25)</x:f>
        <x:v>118.95678299096703</x:v>
      </x:c>
      <x:c r="E27" s="34">
        <x:f>D27/MAX($D$6:D27)-1</x:f>
        <x:v>-0.21238196965725786</x:v>
      </x:c>
      <x:c r="F27" s="33">
        <x:f>F26*(1+Raw_Returns!D25)</x:f>
        <x:v>95.80097867921963</x:v>
      </x:c>
      <x:c r="G27" s="34">
        <x:f>F27/MAX($F$6:F27)-1</x:f>
        <x:v>-0.38092187392</x:v>
      </x:c>
    </x:row>
    <x:row r="28">
      <x:c r="A28" s="23" t="n">
        <x:v>44865</x:v>
      </x:c>
      <x:c r="B28" s="33">
        <x:f>B27*(1+Raw_Returns!B26)</x:f>
        <x:v>88.03528125542577</x:v>
      </x:c>
      <x:c r="C28" s="34">
        <x:f>B28/MAX($B$6:B28)-1</x:f>
        <x:v>-0.27056070554372247</x:v>
      </x:c>
      <x:c r="D28" s="33">
        <x:f>D27*(1+Raw_Returns!C26)</x:f>
        <x:v>133.1602228800885</x:v>
      </x:c>
      <x:c r="E28" s="34">
        <x:f>D28/MAX($D$6:D28)-1</x:f>
        <x:v>-0.1183403768343344</x:v>
      </x:c>
      <x:c r="F28" s="33">
        <x:f>F27*(1+Raw_Returns!D26)</x:f>
        <x:v>86.5849245302787</x:v>
      </x:c>
      <x:c r="G28" s="34">
        <x:f>F28/MAX($F$6:F28)-1</x:f>
        <x:v>-0.44047718964889604</x:v>
      </x:c>
    </x:row>
    <x:row r="29">
      <x:c r="A29" s="23" t="n">
        <x:v>44895</x:v>
      </x:c>
      <x:c r="B29" s="33">
        <x:f>B28*(1+Raw_Returns!B27)</x:f>
        <x:v>101.7071604343934</x:v>
      </x:c>
      <x:c r="C29" s="34">
        <x:f>B29/MAX($B$6:B29)-1</x:f>
        <x:v>-0.1572787831146626</x:v>
      </x:c>
      <x:c r="D29" s="33">
        <x:f>D28*(1+Raw_Returns!C27)</x:f>
        <x:v>146.34308494521724</x:v>
      </x:c>
      <x:c r="E29" s="34">
        <x:f>D29/MAX($D$6:D29)-1</x:f>
        <x:v>-0.031056074140933587</x:v>
      </x:c>
      <x:c r="F29" s="33">
        <x:f>F28*(1+Raw_Returns!D27)</x:f>
        <x:v>94.36890924555077</x:v>
      </x:c>
      <x:c r="G29" s="34">
        <x:f>F29/MAX($F$6:F29)-1</x:f>
        <x:v>-0.39017608899833167</x:v>
      </x:c>
    </x:row>
    <x:row r="30">
      <x:c r="A30" s="23" t="n">
        <x:v>44926</x:v>
      </x:c>
      <x:c r="B30" s="33">
        <x:f>B29*(1+Raw_Returns!B28)</x:f>
        <x:v>92.46197955090705</x:v>
      </x:c>
      <x:c r="C30" s="34">
        <x:f>B30/MAX($B$6:B30)-1</x:f>
        <x:v>-0.2338821417295397</x:v>
      </x:c>
      <x:c r="D30" s="33">
        <x:f>D29*(1+Raw_Returns!C28)</x:f>
        <x:v>139.52349718677013</x:v>
      </x:c>
      <x:c r="E30" s="34">
        <x:f>D30/MAX($D$6:D30)-1</x:f>
        <x:v>-0.07620886108596603</x:v>
      </x:c>
      <x:c r="F30" s="33">
        <x:f>F29*(1+Raw_Returns!D28)</x:f>
        <x:v>94.90681202825041</x:v>
      </x:c>
      <x:c r="G30" s="34">
        <x:f>F30/MAX($F$6:F30)-1</x:f>
        <x:v>-0.3867000927056221</x:v>
      </x:c>
    </x:row>
    <x:row r="31">
      <x:c r="A31" s="23" t="n">
        <x:v>44957</x:v>
      </x:c>
      <x:c r="B31" s="33">
        <x:f>B30*(1+Raw_Returns!B29)</x:f>
        <x:v>102.3554113628541</x:v>
      </x:c>
      <x:c r="C31" s="34">
        <x:f>B31/MAX($B$6:B31)-1</x:f>
        <x:v>-0.1519075308946004</x:v>
      </x:c>
      <x:c r="D31" s="33">
        <x:f>D30*(1+Raw_Returns!C29)</x:f>
        <x:v>154.8571295275962</x:v>
      </x:c>
      <x:c r="E31" s="34">
        <x:f>D31/MAX($D$6:D31)-1</x:f>
        <x:v>0</x:v>
      </x:c>
      <x:c r="F31" s="33">
        <x:f>F30*(1+Raw_Returns!D29)</x:f>
        <x:v>120.73095558113735</x:v>
      </x:c>
      <x:c r="G31" s="34">
        <x:f>F31/MAX($F$6:F31)-1</x:f>
        <x:v>-0.21982118793082195</x:v>
      </x:c>
    </x:row>
    <x:row r="32">
      <x:c r="A32" s="23" t="n">
        <x:v>44985</x:v>
      </x:c>
      <x:c r="B32" s="33">
        <x:f>B31*(1+Raw_Returns!B30)</x:f>
        <x:v>114.0751059639009</x:v>
      </x:c>
      <x:c r="C32" s="34">
        <x:f>B32/MAX($B$6:B32)-1</x:f>
        <x:v>-0.054800943182032213</x:v>
      </x:c>
      <x:c r="D32" s="33">
        <x:f>D31*(1+Raw_Returns!C30)</x:f>
        <x:v>165.07770007641756</x:v>
      </x:c>
      <x:c r="E32" s="34">
        <x:f>D32/MAX($D$6:D32)-1</x:f>
        <x:v>0</x:v>
      </x:c>
      <x:c r="F32" s="33">
        <x:f>F31*(1+Raw_Returns!D30)</x:f>
        <x:v>104.0700837109404</x:v>
      </x:c>
      <x:c r="G32" s="34">
        <x:f>F32/MAX($F$6:F32)-1</x:f>
        <x:v>-0.3274858639963685</x:v>
      </x:c>
    </x:row>
    <x:row r="33">
      <x:c r="A33" s="23" t="n">
        <x:v>45016</x:v>
      </x:c>
      <x:c r="B33" s="33">
        <x:f>B32*(1+Raw_Returns!B31)</x:f>
        <x:v>118.43277501172192</x:v>
      </x:c>
      <x:c r="C33" s="34">
        <x:f>B33/MAX($B$6:B33)-1</x:f>
        <x:v>-0.01869433921158581</x:v>
      </x:c>
      <x:c r="D33" s="33">
        <x:f>D32*(1+Raw_Returns!C31)</x:f>
        <x:v>160.8352031844536</x:v>
      </x:c>
      <x:c r="E33" s="34">
        <x:f>D33/MAX($D$6:D33)-1</x:f>
        <x:v>-0.025700000000000167</x:v>
      </x:c>
      <x:c r="F33" s="33">
        <x:f>F32*(1+Raw_Returns!D31)</x:f>
        <x:v>113.23865808587425</x:v>
      </x:c>
      <x:c r="G33" s="34">
        <x:f>F33/MAX($F$6:F33)-1</x:f>
        <x:v>-0.26823736861444847</x:v>
      </x:c>
    </x:row>
    <x:row r="34">
      <x:c r="A34" s="23" t="n">
        <x:v>45046</x:v>
      </x:c>
      <x:c r="B34" s="33">
        <x:f>B33*(1+Raw_Returns!B32)</x:f>
        <x:v>118.11300651919026</x:v>
      </x:c>
      <x:c r="C34" s="34">
        <x:f>B34/MAX($B$6:B34)-1</x:f>
        <x:v>-0.02134386449571446</x:v>
      </x:c>
      <x:c r="D34" s="33">
        <x:f>D33*(1+Raw_Returns!C32)</x:f>
        <x:v>160.38486461553714</x:v>
      </x:c>
      <x:c r="E34" s="34">
        <x:f>D34/MAX($D$6:D34)-1</x:f>
        <x:v>-0.0284280400000001</x:v>
      </x:c>
      <x:c r="F34" s="33">
        <x:f>F33*(1+Raw_Returns!D32)</x:f>
        <x:v>116.29610185419284</x:v>
      </x:c>
      <x:c r="G34" s="34">
        <x:f>F34/MAX($F$6:F34)-1</x:f>
        <x:v>-0.24847977756703876</x:v>
      </x:c>
    </x:row>
    <x:row r="35">
      <x:c r="A35" s="23" t="n">
        <x:v>45077</x:v>
      </x:c>
      <x:c r="B35" s="33">
        <x:f>B34*(1+Raw_Returns!B33)</x:f>
        <x:v>108.66396599765505</x:v>
      </x:c>
      <x:c r="C35" s="34">
        <x:f>B35/MAX($B$6:B35)-1</x:f>
        <x:v>-0.09963635533605719</x:v>
      </x:c>
      <x:c r="D35" s="33">
        <x:f>D34*(1+Raw_Returns!C33)</x:f>
        <x:v>171.2108429770859</x:v>
      </x:c>
      <x:c r="E35" s="34">
        <x:f>D35/MAX($D$6:D35)-1</x:f>
        <x:v>0</x:v>
      </x:c>
      <x:c r="F35" s="33">
        <x:f>F34*(1+Raw_Returns!D33)</x:f>
        <x:v>116.49380522734498</x:v>
      </x:c>
      <x:c r="G35" s="34">
        <x:f>F35/MAX($F$6:F35)-1</x:f>
        <x:v>-0.24720219318890257</x:v>
      </x:c>
    </x:row>
    <x:row r="36">
      <x:c r="A36" s="23" t="n">
        <x:v>45107</x:v>
      </x:c>
      <x:c r="B36" s="33">
        <x:f>B35*(1+Raw_Returns!B34)</x:f>
        <x:v>124.57237061971176</x:v>
      </x:c>
      <x:c r="C36" s="34">
        <x:f>B36/MAX($B$6:B36)-1</x:f>
        <x:v>0</x:v>
      </x:c>
      <x:c r="D36" s="33">
        <x:f>D35*(1+Raw_Returns!C34)</x:f>
        <x:v>180.781529099505</x:v>
      </x:c>
      <x:c r="E36" s="34">
        <x:f>D36/MAX($D$6:D36)-1</x:f>
        <x:v>0</x:v>
      </x:c>
      <x:c r="F36" s="33">
        <x:f>F35*(1+Raw_Returns!D34)</x:f>
        <x:v>123.80961619562224</x:v>
      </x:c>
      <x:c r="G36" s="34">
        <x:f>F36/MAX($F$6:F36)-1</x:f>
        <x:v>-0.19992649092116577</x:v>
      </x:c>
    </x:row>
    <x:row r="37">
      <x:c r="A37" s="23" t="n">
        <x:v>45138</x:v>
      </x:c>
      <x:c r="B37" s="33">
        <x:f>B36*(1+Raw_Returns!B35)</x:f>
        <x:v>145.9489894180543</x:v>
      </x:c>
      <x:c r="C37" s="34">
        <x:f>B37/MAX($B$6:B37)-1</x:f>
        <x:v>0</x:v>
      </x:c>
      <x:c r="D37" s="33">
        <x:f>D36*(1+Raw_Returns!C35)</x:f>
        <x:v>178.25058769211194</x:v>
      </x:c>
      <x:c r="E37" s="34">
        <x:f>D37/MAX($D$6:D37)-1</x:f>
        <x:v>-0.014000000000000012</x:v>
      </x:c>
      <x:c r="F37" s="33">
        <x:f>F36*(1+Raw_Returns!D35)</x:f>
        <x:v>136.48772089405395</x:v>
      </x:c>
      <x:c r="G37" s="34">
        <x:f>F37/MAX($F$6:F37)-1</x:f>
        <x:v>-0.11799896359149309</x:v>
      </x:c>
    </x:row>
    <x:row r="38">
      <x:c r="A38" s="23" t="n">
        <x:v>45169</x:v>
      </x:c>
      <x:c r="B38" s="33">
        <x:f>B37*(1+Raw_Returns!B36)</x:f>
        <x:v>131.74815274767764</x:v>
      </x:c>
      <x:c r="C38" s="34">
        <x:f>B38/MAX($B$6:B38)-1</x:f>
        <x:v>-0.09729999999999994</x:v>
      </x:c>
      <x:c r="D38" s="33">
        <x:f>D37*(1+Raw_Returns!C36)</x:f>
        <x:v>165.73739643612566</x:v>
      </x:c>
      <x:c r="E38" s="34">
        <x:f>D38/MAX($D$6:D38)-1</x:f>
        <x:v>-0.0832172000000001</x:v>
      </x:c>
      <x:c r="F38" s="33">
        <x:f>F37*(1+Raw_Returns!D36)</x:f>
        <x:v>121.73339826540672</x:v>
      </x:c>
      <x:c r="G38" s="34">
        <x:f>F38/MAX($F$6:F38)-1</x:f>
        <x:v>-0.21334327562725275</x:v>
      </x:c>
    </x:row>
    <x:row r="39">
      <x:c r="A39" s="23" t="n">
        <x:v>45199</x:v>
      </x:c>
      <x:c r="B39" s="33">
        <x:f>B38*(1+Raw_Returns!B37)</x:f>
        <x:v>135.87186992867996</x:v>
      </x:c>
      <x:c r="C39" s="34">
        <x:f>B39/MAX($B$6:B39)-1</x:f>
        <x:v>-0.06904548999999982</x:v>
      </x:c>
      <x:c r="D39" s="33">
        <x:f>D38*(1+Raw_Returns!C37)</x:f>
        <x:v>161.6934039630842</x:v>
      </x:c>
      <x:c r="E39" s="34">
        <x:f>D39/MAX($D$6:D39)-1</x:f>
        <x:v>-0.10558670032000006</x:v>
      </x:c>
      <x:c r="F39" s="33">
        <x:f>F38*(1+Raw_Returns!D37)</x:f>
        <x:v>119.84653059229292</x:v>
      </x:c>
      <x:c r="G39" s="34">
        <x:f>F39/MAX($F$6:F39)-1</x:f>
        <x:v>-0.22553645485503027</x:v>
      </x:c>
    </x:row>
    <x:row r="40">
      <x:c r="A40" s="23" t="n">
        <x:v>45230</x:v>
      </x:c>
      <x:c r="B40" s="33">
        <x:f>B39*(1+Raw_Returns!B38)</x:f>
        <x:v>132.678880985356</x:v>
      </x:c>
      <x:c r="C40" s="34">
        <x:f>B40/MAX($B$6:B40)-1</x:f>
        <x:v>-0.09092292098499977</x:v>
      </x:c>
      <x:c r="D40" s="33">
        <x:f>D39*(1+Raw_Returns!C38)</x:f>
        <x:v>136.0326607541427</x:v>
      </x:c>
      <x:c r="E40" s="34">
        <x:f>D40/MAX($D$6:D40)-1</x:f>
        <x:v>-0.2475300909792162</x:v>
      </x:c>
      <x:c r="F40" s="33">
        <x:f>F39*(1+Raw_Returns!D38)</x:f>
        <x:v>117.56944651103936</x:v>
      </x:c>
      <x:c r="G40" s="34">
        <x:f>F40/MAX($F$6:F40)-1</x:f>
        <x:v>-0.2402512622127847</x:v>
      </x:c>
    </x:row>
    <x:row r="41">
      <x:c r="A41" s="23" t="n">
        <x:v>45260</x:v>
      </x:c>
      <x:c r="B41" s="33">
        <x:f>B40*(1+Raw_Returns!B39)</x:f>
        <x:v>153.84116250252026</x:v>
      </x:c>
      <x:c r="C41" s="34">
        <x:f>B41/MAX($B$6:B41)-1</x:f>
        <x:v>0</x:v>
      </x:c>
      <x:c r="D41" s="33">
        <x:f>D40*(1+Raw_Returns!C39)</x:f>
        <x:v>146.221507044628</x:v>
      </x:c>
      <x:c r="E41" s="34">
        <x:f>D41/MAX($D$6:D41)-1</x:f>
        <x:v>-0.1911700947935595</x:v>
      </x:c>
      <x:c r="F41" s="33">
        <x:f>F40*(1+Raw_Returns!D39)</x:f>
        <x:v>104.00193238366542</x:v>
      </x:c>
      <x:c r="G41" s="34">
        <x:f>F41/MAX($F$6:F41)-1</x:f>
        <x:v>-0.32792626655342927</x:v>
      </x:c>
    </x:row>
    <x:row r="42">
      <x:c r="A42" s="23" t="n">
        <x:v>45291</x:v>
      </x:c>
      <x:c r="B42" s="33">
        <x:f>B41*(1+Raw_Returns!B40)</x:f>
        <x:v>165.6253955502133</x:v>
      </x:c>
      <x:c r="C42" s="34">
        <x:f>B42/MAX($B$6:B42)-1</x:f>
        <x:v>0</x:v>
      </x:c>
      <x:c r="D42" s="33">
        <x:f>D41*(1+Raw_Returns!C40)</x:f>
        <x:v>153.5033380954505</x:v>
      </x:c>
      <x:c r="E42" s="34">
        <x:f>D42/MAX($D$6:D42)-1</x:f>
        <x:v>-0.1508903655142787</x:v>
      </x:c>
      <x:c r="F42" s="33">
        <x:f>F41*(1+Raw_Returns!D40)</x:f>
        <x:v>106.18597296372238</x:v>
      </x:c>
      <x:c r="G42" s="34">
        <x:f>F42/MAX($F$6:F42)-1</x:f>
        <x:v>-0.3138127181510514</x:v>
      </x:c>
    </x:row>
    <x:row r="43">
      <x:c r="A43" s="23" t="n">
        <x:v>45322</x:v>
      </x:c>
      <x:c r="B43" s="33">
        <x:f>B42*(1+Raw_Returns!B41)</x:f>
        <x:v>155.9694349896359</x:v>
      </x:c>
      <x:c r="C43" s="34">
        <x:f>B43/MAX($B$6:B43)-1</x:f>
        <x:v>-0.05829999999999991</x:v>
      </x:c>
      <x:c r="D43" s="33">
        <x:f>D42*(1+Raw_Returns!C41)</x:f>
        <x:v>154.24015411830862</x:v>
      </x:c>
      <x:c r="E43" s="34">
        <x:f>D43/MAX($D$6:D43)-1</x:f>
        <x:v>-0.14681463926874738</x:v>
      </x:c>
      <x:c r="F43" s="33">
        <x:f>F42*(1+Raw_Returns!D41)</x:f>
        <x:v>86.32919601950628</x:v>
      </x:c>
      <x:c r="G43" s="34">
        <x:f>F43/MAX($F$6:F43)-1</x:f>
        <x:v>-0.4421297398568048</x:v>
      </x:c>
    </x:row>
    <x:row r="44">
      <x:c r="A44" s="23" t="n">
        <x:v>45351</x:v>
      </x:c>
      <x:c r="B44" s="33">
        <x:f>B43*(1+Raw_Returns!B42)</x:f>
        <x:v>186.50825036060658</x:v>
      </x:c>
      <x:c r="C44" s="34">
        <x:f>B44/MAX($B$6:B44)-1</x:f>
        <x:v>0</x:v>
      </x:c>
      <x:c r="D44" s="33">
        <x:f>D43*(1+Raw_Returns!C42)</x:f>
        <x:v>180.7231885804222</x:v>
      </x:c>
      <x:c r="E44" s="34">
        <x:f>D44/MAX($D$6:D44)-1</x:f>
        <x:v>-0.00032271283119134075</x:v>
      </x:c>
      <x:c r="F44" s="33">
        <x:f>F43*(1+Raw_Returns!D42)</x:f>
        <x:v>95.73907838563247</x:v>
      </x:c>
      <x:c r="G44" s="34">
        <x:f>F44/MAX($F$6:F44)-1</x:f>
        <x:v>-0.3813218815011966</x:v>
      </x:c>
    </x:row>
    <x:row r="45">
      <x:c r="A45" s="23" t="n">
        <x:v>45382</x:v>
      </x:c>
      <x:c r="B45" s="33">
        <x:f>B44*(1+Raw_Returns!B43)</x:f>
        <x:v>200.99994141362572</x:v>
      </x:c>
      <x:c r="C45" s="34">
        <x:f>B45/MAX($B$6:B45)-1</x:f>
        <x:v>0</x:v>
      </x:c>
      <x:c r="D45" s="33">
        <x:f>D44*(1+Raw_Returns!C43)</x:f>
        <x:v>181.13885191415716</x:v>
      </x:c>
      <x:c r="E45" s="34">
        <x:f>D45/MAX($D$6:D45)-1</x:f>
        <x:v>0</x:v>
      </x:c>
      <x:c r="F45" s="33">
        <x:f>F44*(1+Raw_Returns!D43)</x:f>
        <x:v>99.8462848483761</x:v>
      </x:c>
      <x:c r="G45" s="34">
        <x:f>F45/MAX($F$6:F45)-1</x:f>
        <x:v>-0.3547805902175979</x:v>
      </x:c>
    </x:row>
    <x:row r="46">
      <x:c r="A46" s="23" t="n">
        <x:v>45412</x:v>
      </x:c>
      <x:c r="B46" s="33">
        <x:f>B45*(1+Raw_Returns!B44)</x:f>
        <x:v>169.24195067027284</x:v>
      </x:c>
      <x:c r="C46" s="34">
        <x:f>B46/MAX($B$6:B46)-1</x:f>
        <x:v>-0.15800000000000003</x:v>
      </x:c>
      <x:c r="D46" s="33">
        <x:f>D45*(1+Raw_Returns!C44)</x:f>
        <x:v>174.09255057469645</x:v>
      </x:c>
      <x:c r="E46" s="34">
        <x:f>D46/MAX($D$6:D46)-1</x:f>
        <x:v>-0.038900000000000046</x:v>
      </x:c>
      <x:c r="F46" s="33">
        <x:f>F45*(1+Raw_Returns!D44)</x:f>
        <x:v>106.77561701685339</x:v>
      </x:c>
      <x:c r="G46" s="34">
        <x:f>F46/MAX($F$6:F46)-1</x:f>
        <x:v>-0.31000236317869934</x:v>
      </x:c>
    </x:row>
    <x:row r="47">
      <x:c r="A47" s="23" t="n">
        <x:v>45443</x:v>
      </x:c>
      <x:c r="B47" s="33">
        <x:f>B46*(1+Raw_Returns!B45)</x:f>
        <x:v>169.0219361344015</x:v>
      </x:c>
      <x:c r="C47" s="34">
        <x:f>B47/MAX($B$6:B47)-1</x:f>
        <x:v>-0.15909459999999997</x:v>
      </x:c>
      <x:c r="D47" s="33">
        <x:f>D46*(1+Raw_Returns!C45)</x:f>
        <x:v>175.71161129504114</x:v>
      </x:c>
      <x:c r="E47" s="34">
        <x:f>D47/MAX($D$6:D47)-1</x:f>
        <x:v>-0.029961769999999888</x:v>
      </x:c>
      <x:c r="F47" s="33">
        <x:f>F46*(1+Raw_Returns!D45)</x:f>
        <x:v>108.76164349336686</x:v>
      </x:c>
      <x:c r="G47" s="34">
        <x:f>F47/MAX($F$6:F47)-1</x:f>
        <x:v>-0.2971684071338231</x:v>
      </x:c>
    </x:row>
    <x:row r="48">
      <x:c r="A48" s="23" t="n">
        <x:v>45473</x:v>
      </x:c>
      <x:c r="B48" s="33">
        <x:f>B47*(1+Raw_Returns!B46)</x:f>
        <x:v>150.64925167659206</x:v>
      </x:c>
      <x:c r="C48" s="34">
        <x:f>B48/MAX($B$6:B48)-1</x:f>
        <x:v>-0.25050101698000005</x:v>
      </x:c>
      <x:c r="D48" s="33">
        <x:f>D47*(1+Raw_Returns!C46)</x:f>
        <x:v>170.861970823298</x:v>
      </x:c>
      <x:c r="E48" s="34">
        <x:f>D48/MAX($D$6:D48)-1</x:f>
        <x:v>-0.05673482514799988</x:v>
      </x:c>
      <x:c r="F48" s="33">
        <x:f>F47*(1+Raw_Returns!D46)</x:f>
        <x:v>116.64686264663597</x:v>
      </x:c>
      <x:c r="G48" s="34">
        <x:f>F48/MAX($F$6:F48)-1</x:f>
        <x:v>-0.2462131166510253</x:v>
      </x:c>
    </x:row>
    <x:row r="49">
      <x:c r="A49" s="23" t="n">
        <x:v>45504</x:v>
      </x:c>
      <x:c r="B49" s="33">
        <x:f>B48*(1+Raw_Returns!B47)</x:f>
        <x:v>126.6658908096786</x:v>
      </x:c>
      <x:c r="C49" s="34">
        <x:f>B49/MAX($B$6:B49)-1</x:f>
        <x:v>-0.369821255076784</x:v>
      </x:c>
      <x:c r="D49" s="33">
        <x:f>D48*(1+Raw_Returns!C47)</x:f>
        <x:v>161.84045876382788</x:v>
      </x:c>
      <x:c r="E49" s="34">
        <x:f>D49/MAX($D$6:D49)-1</x:f>
        <x:v>-0.10653922638018543</x:v>
      </x:c>
      <x:c r="F49" s="33">
        <x:f>F48*(1+Raw_Returns!D47)</x:f>
        <x:v>114.64053660911382</x:v>
      </x:c>
      <x:c r="G49" s="34">
        <x:f>F49/MAX($F$6:F49)-1</x:f>
        <x:v>-0.25917825104462766</x:v>
      </x:c>
    </x:row>
    <x:row r="50">
      <x:c r="A50" s="23" t="n">
        <x:v>45535</x:v>
      </x:c>
      <x:c r="B50" s="33">
        <x:f>B49*(1+Raw_Returns!B48)</x:f>
        <x:v>127.34988662005087</x:v>
      </x:c>
      <x:c r="C50" s="34">
        <x:f>B50/MAX($B$6:B50)-1</x:f>
        <x:v>-0.36641828985419866</x:v>
      </x:c>
      <x:c r="D50" s="33">
        <x:f>D49*(1+Raw_Returns!C48)</x:f>
        <x:v>164.96397961796978</x:v>
      </x:c>
      <x:c r="E50" s="34">
        <x:f>D50/MAX($D$6:D50)-1</x:f>
        <x:v>-0.08929543344932289</x:v>
      </x:c>
      <x:c r="F50" s="33">
        <x:f>F49*(1+Raw_Returns!D48)</x:f>
        <x:v>121.27822367878152</x:v>
      </x:c>
      <x:c r="G50" s="34">
        <x:f>F50/MAX($F$6:F50)-1</x:f>
        <x:v>-0.21628467178011157</x:v>
      </x:c>
    </x:row>
    <x:row r="51">
      <x:c r="A51" s="23" t="n">
        <x:v>45565</x:v>
      </x:c>
      <x:c r="B51" s="33">
        <x:f>B50*(1+Raw_Returns!B49)</x:f>
        <x:v>106.63006006696858</x:v>
      </x:c>
      <x:c r="C51" s="34">
        <x:f>B51/MAX($B$6:B51)-1</x:f>
        <x:v>-0.46950203409492053</x:v>
      </x:c>
      <x:c r="D51" s="33">
        <x:f>D50*(1+Raw_Returns!C49)</x:f>
        <x:v>153.58146502432987</x:v>
      </x:c>
      <x:c r="E51" s="34">
        <x:f>D51/MAX($D$6:D51)-1</x:f>
        <x:v>-0.15213404854131962</x:v>
      </x:c>
      <x:c r="F51" s="33">
        <x:f>F50*(1+Raw_Returns!D49)</x:f>
        <x:v>142.69595798045435</x:v>
      </x:c>
      <x:c r="G51" s="34">
        <x:f>F51/MAX($F$6:F51)-1</x:f>
        <x:v>-0.0778805448164791</x:v>
      </x:c>
    </x:row>
    <x:row r="52">
      <x:c r="A52" s="23" t="n">
        <x:v>45596</x:v>
      </x:c>
      <x:c r="B52" s="33">
        <x:f>B51*(1+Raw_Returns!B50)</x:f>
        <x:v>103.36718022891935</x:v>
      </x:c>
      <x:c r="C52" s="34">
        <x:f>B52/MAX($B$6:B52)-1</x:f>
        <x:v>-0.4857352718516159</x:v>
      </x:c>
      <x:c r="D52" s="33">
        <x:f>D51*(1+Raw_Returns!C50)</x:f>
        <x:v>147.39213198384937</x:v>
      </x:c>
      <x:c r="E52" s="34">
        <x:f>D52/MAX($D$6:D52)-1</x:f>
        <x:v>-0.18630304638510442</x:v>
      </x:c>
      <x:c r="F52" s="33">
        <x:f>F51*(1+Raw_Returns!D50)</x:f>
        <x:v>141.4830423376205</x:v>
      </x:c>
      <x:c r="G52" s="34">
        <x:f>F52/MAX($F$6:F52)-1</x:f>
        <x:v>-0.08571856018553903</x:v>
      </x:c>
    </x:row>
    <x:row r="53">
      <x:c r="A53" s="23" t="n">
        <x:v>45626</x:v>
      </x:c>
      <x:c r="B53" s="33">
        <x:f>B52*(1+Raw_Returns!B51)</x:f>
        <x:v>100.18347107786863</x:v>
      </x:c>
      <x:c r="C53" s="34">
        <x:f>B53/MAX($B$6:B53)-1</x:f>
        <x:v>-0.5015746254785862</x:v>
      </x:c>
      <x:c r="D53" s="33">
        <x:f>D52*(1+Raw_Returns!C51)</x:f>
        <x:v>140.14043909024397</x:v>
      </x:c>
      <x:c r="E53" s="34">
        <x:f>D53/MAX($D$6:D53)-1</x:f>
        <x:v>-0.2263369365029574</x:v>
      </x:c>
      <x:c r="F53" s="33">
        <x:f>F52*(1+Raw_Returns!D51)</x:f>
        <x:v>127.5045177546636</x:v>
      </x:c>
      <x:c r="G53" s="34">
        <x:f>F53/MAX($F$6:F53)-1</x:f>
        <x:v>-0.17604956643920777</x:v>
      </x:c>
    </x:row>
    <x:row r="54">
      <x:c r="A54" s="23" t="n">
        <x:v>45657</x:v>
      </x:c>
      <x:c r="B54" s="33">
        <x:f>B53*(1+Raw_Returns!B52)</x:f>
        <x:v>99.04137950758093</x:v>
      </x:c>
      <x:c r="C54" s="34">
        <x:f>B54/MAX($B$6:B54)-1</x:f>
        <x:v>-0.5072566747481303</x:v>
      </x:c>
      <x:c r="D54" s="33">
        <x:f>D53*(1+Raw_Returns!C52)</x:f>
        <x:v>142.36867207177886</x:v>
      </x:c>
      <x:c r="E54" s="34">
        <x:f>D54/MAX($D$6:D54)-1</x:f>
        <x:v>-0.2140356937933543</x:v>
      </x:c>
      <x:c r="F54" s="33">
        <x:f>F53*(1+Raw_Returns!D52)</x:f>
        <x:v>134.04549951547781</x:v>
      </x:c>
      <x:c r="G54" s="34">
        <x:f>F54/MAX($F$6:F54)-1</x:f>
        <x:v>-0.13378090919753927</x:v>
      </x:c>
    </x:row>
    <x:row r="55">
      <x:c r="A55" s="23" t="n">
        <x:v>45688</x:v>
      </x:c>
      <x:c r="B55" s="33">
        <x:f>B54*(1+Raw_Returns!B53)</x:f>
        <x:v>99.64553192257718</x:v>
      </x:c>
      <x:c r="C55" s="34">
        <x:f>B55/MAX($B$6:B55)-1</x:f>
        <x:v>-0.5042509404640939</x:v>
      </x:c>
      <x:c r="D55" s="33">
        <x:f>D54*(1+Raw_Returns!C53)</x:f>
        <x:v>155.9221696530122</x:v>
      </x:c>
      <x:c r="E55" s="34">
        <x:f>D55/MAX($D$6:D55)-1</x:f>
        <x:v>-0.13921189184248173</x:v>
      </x:c>
      <x:c r="F55" s="33">
        <x:f>F54*(1+Raw_Returns!D53)</x:f>
        <x:v>137.26259150384928</x:v>
      </x:c>
      <x:c r="G55" s="34">
        <x:f>F55/MAX($F$6:F55)-1</x:f>
        <x:v>-0.11299165101828024</x:v>
      </x:c>
    </x:row>
    <x:row r="56">
      <x:c r="A56" s="23" t="n">
        <x:v>45716</x:v>
      </x:c>
      <x:c r="B56" s="33">
        <x:f>B55*(1+Raw_Returns!B54)</x:f>
        <x:v>96.53659132659277</x:v>
      </x:c>
      <x:c r="C56" s="34">
        <x:f>B56/MAX($B$6:B56)-1</x:f>
        <x:v>-0.5197183111216142</x:v>
      </x:c>
      <x:c r="D56" s="33">
        <x:f>D55*(1+Raw_Returns!C54)</x:f>
        <x:v>158.16744889601557</x:v>
      </x:c>
      <x:c r="E56" s="34">
        <x:f>D56/MAX($D$6:D56)-1</x:f>
        <x:v>-0.12681654308501344</x:v>
      </x:c>
      <x:c r="F56" s="33">
        <x:f>F55*(1+Raw_Returns!D54)</x:f>
        <x:v>186.84183955503963</x:v>
      </x:c>
      <x:c r="G56" s="34">
        <x:f>F56/MAX($F$6:F56)-1</x:f>
        <x:v>0</x:v>
      </x:c>
    </x:row>
    <x:row r="57">
      <x:c r="A57" s="23" t="n">
        <x:v>45747</x:v>
      </x:c>
      <x:c r="B57" s="33">
        <x:f>B56*(1+Raw_Returns!B55)</x:f>
        <x:v>85.0776979361262</x:v>
      </x:c>
      <x:c r="C57" s="34">
        <x:f>B57/MAX($B$6:B57)-1</x:f>
        <x:v>-0.5767277475914786</x:v>
      </x:c>
      <x:c r="D57" s="33">
        <x:f>D56*(1+Raw_Returns!C55)</x:f>
        <x:v>143.3946091691277</x:v>
      </x:c>
      <x:c r="E57" s="34">
        <x:f>D57/MAX($D$6:D57)-1</x:f>
        <x:v>-0.2083718779608733</x:v>
      </x:c>
      <x:c r="F57" s="33">
        <x:f>F56*(1+Raw_Returns!D55)</x:f>
        <x:v>197.51050859363238</x:v>
      </x:c>
      <x:c r="G57" s="34">
        <x:f>F57/MAX($F$6:F57)-1</x:f>
        <x:v>0</x:v>
      </x:c>
    </x:row>
    <x:row r="58">
      <x:c r="A58" s="23" t="n">
        <x:v>45777</x:v>
      </x:c>
      <x:c r="B58" s="33">
        <x:f>B57*(1+Raw_Returns!B56)</x:f>
        <x:v>83.7249625389418</x:v>
      </x:c>
      <x:c r="C58" s="34">
        <x:f>B58/MAX($B$6:B58)-1</x:f>
        <x:v>-0.5834577764047741</x:v>
      </x:c>
      <x:c r="D58" s="33">
        <x:f>D57*(1+Raw_Returns!C56)</x:f>
        <x:v>138.84900005846637</x:v>
      </x:c>
      <x:c r="E58" s="34">
        <x:f>D58/MAX($D$6:D58)-1</x:f>
        <x:v>-0.23346648942951354</x:v>
      </x:c>
      <x:c r="F58" s="33">
        <x:f>F57*(1+Raw_Returns!D56)</x:f>
        <x:v>186.1536543494985</x:v>
      </x:c>
      <x:c r="G58" s="34">
        <x:f>F58/MAX($F$6:F58)-1</x:f>
        <x:v>-0.057499999999999996</x:v>
      </x:c>
    </x:row>
    <x:row r="59">
      <x:c r="A59" s="23" t="n">
        <x:v>45808</x:v>
      </x:c>
      <x:c r="B59" s="33">
        <x:f>B58*(1+Raw_Returns!B57)</x:f>
        <x:v>91.4862665663017</x:v>
      </x:c>
      <x:c r="C59" s="34">
        <x:f>B59/MAX($B$6:B59)-1</x:f>
        <x:v>-0.5448443122774966</x:v>
      </x:c>
      <x:c r="D59" s="33">
        <x:f>D58*(1+Raw_Returns!C57)</x:f>
        <x:v>151.20656106366988</x:v>
      </x:c>
      <x:c r="E59" s="34">
        <x:f>D59/MAX($D$6:D59)-1</x:f>
        <x:v>-0.16524500698874023</x:v>
      </x:c>
      <x:c r="F59" s="33">
        <x:f>F58*(1+Raw_Returns!D57)</x:f>
        <x:v>197.50902726481792</x:v>
      </x:c>
      <x:c r="G59" s="34">
        <x:f>F59/MAX($F$6:F59)-1</x:f>
        <x:v>-0.000007500000000049134</x:v>
      </x:c>
    </x:row>
    <x:row r="60">
      <x:c r="A60" s="23" t="n">
        <x:v>45838</x:v>
      </x:c>
      <x:c r="B60" s="33">
        <x:f>B59*(1+Raw_Returns!B58)</x:f>
        <x:v>90.49821488738563</x:v>
      </x:c>
      <x:c r="C60" s="34">
        <x:f>B60/MAX($B$6:B60)-1</x:f>
        <x:v>-0.5497599937048998</x:v>
      </x:c>
      <x:c r="D60" s="33">
        <x:f>D59*(1+Raw_Returns!C58)</x:f>
        <x:v>142.87507954906167</x:v>
      </x:c>
      <x:c r="E60" s="34">
        <x:f>D60/MAX($D$6:D60)-1</x:f>
        <x:v>-0.21124000710366064</x:v>
      </x:c>
      <x:c r="F60" s="33">
        <x:f>F59*(1+Raw_Returns!D58)</x:f>
        <x:v>191.0504820732584</x:v>
      </x:c>
      <x:c r="G60" s="34">
        <x:f>F60/MAX($F$6:F60)-1</x:f>
        <x:v>-0.032707254749999914</x:v>
      </x:c>
    </x:row>
    <x:row r="61">
      <x:c r="A61" s="23" t="n">
        <x:v>45869</x:v>
      </x:c>
      <x:c r="B61" s="33">
        <x:f>B60*(1+Raw_Returns!B59)</x:f>
        <x:v>80.20856785468987</x:v>
      </x:c>
      <x:c r="C61" s="34">
        <x:f>B61/MAX($B$6:B61)-1</x:f>
        <x:v>-0.6009522824206527</x:v>
      </x:c>
      <x:c r="D61" s="33">
        <x:f>D60*(1+Raw_Returns!C59)</x:f>
        <x:v>144.06094270931888</x:v>
      </x:c>
      <x:c r="E61" s="34">
        <x:f>D61/MAX($D$6:D61)-1</x:f>
        <x:v>-0.20469329916262102</x:v>
      </x:c>
      <x:c r="F61" s="33">
        <x:f>F60*(1+Raw_Returns!D59)</x:f>
        <x:v>179.9695541130094</x:v>
      </x:c>
      <x:c r="G61" s="34">
        <x:f>F61/MAX($F$6:F61)-1</x:f>
        <x:v>-0.08881023397450005</x:v>
      </x:c>
    </x:row>
    <x:row r="62">
      <x:c r="A62" s="23" t="n">
        <x:v>45900</x:v>
      </x:c>
      <x:c r="B62" s="33">
        <x:f>B61*(1+Raw_Returns!B60)</x:f>
        <x:v>86.88192070020007</x:v>
      </x:c>
      <x:c r="C62" s="34">
        <x:f>B62/MAX($B$6:B62)-1</x:f>
        <x:v>-0.567751512318051</x:v>
      </x:c>
      <x:c r="D62" s="33">
        <x:f>D61*(1+Raw_Returns!C60)</x:f>
        <x:v>153.41049789115368</x:v>
      </x:c>
      <x:c r="E62" s="34">
        <x:f>D62/MAX($D$6:D62)-1</x:f>
        <x:v>-0.15307789427827512</x:v>
      </x:c>
      <x:c r="F62" s="33">
        <x:f>F61*(1+Raw_Returns!D60)</x:f>
        <x:v>178.4038189922262</x:v>
      </x:c>
      <x:c r="G62" s="34">
        <x:f>F62/MAX($F$6:F62)-1</x:f>
        <x:v>-0.09673758493892193</x:v>
      </x:c>
    </x:row>
    <x:row r="63">
      <x:c r="A63" s="23" t="n">
        <x:v>45930</x:v>
      </x:c>
      <x:c r="B63" s="33">
        <x:f>B62*(1+Raw_Returns!B61)</x:f>
        <x:v>84.26677488712404</x:v>
      </x:c>
      <x:c r="C63" s="34">
        <x:f>B63/MAX($B$6:B63)-1</x:f>
        <x:v>-0.5807621917972776</x:v>
      </x:c>
      <x:c r="D63" s="33">
        <x:f>D62*(1+Raw_Returns!C61)</x:f>
        <x:v>153.74800098651423</x:v>
      </x:c>
      <x:c r="E63" s="34">
        <x:f>D63/MAX($D$6:D63)-1</x:f>
        <x:v>-0.1512146656456872</x:v>
      </x:c>
      <x:c r="F63" s="33">
        <x:f>F62*(1+Raw_Returns!D61)</x:f>
        <x:v>171.8563988352115</x:v>
      </x:c>
      <x:c r="G63" s="34">
        <x:f>F63/MAX($F$6:F63)-1</x:f>
        <x:v>-0.12988731557166344</x:v>
      </x:c>
    </x:row>
    <x:row r="64">
      <x:c r="A64" s="23" t="n">
        <x:v>45961</x:v>
      </x:c>
      <x:c r="B64" s="33">
        <x:f>B63*(1+Raw_Returns!B62)</x:f>
        <x:v>91.48843749495059</x:v>
      </x:c>
      <x:c r="C64" s="34">
        <x:f>B64/MAX($B$6:B64)-1</x:f>
        <x:v>-0.5448335116343044</x:v>
      </x:c>
      <x:c r="D64" s="33">
        <x:f>D63*(1+Raw_Returns!C62)</x:f>
        <x:v>161.61989863702374</x:v>
      </x:c>
      <x:c r="E64" s="34">
        <x:f>D64/MAX($D$6:D64)-1</x:f>
        <x:v>-0.10775685652674649</x:v>
      </x:c>
      <x:c r="F64" s="33">
        <x:f>F63*(1+Raw_Returns!D62)</x:f>
        <x:v>156.8877064966646</x:v>
      </x:c>
      <x:c r="G64" s="34">
        <x:f>F64/MAX($F$6:F64)-1</x:f>
        <x:v>-0.2056741303853714</x:v>
      </x:c>
    </x:row>
    <x:row r="65">
      <x:c r="A65" s="23" t="n">
        <x:v>45991</x:v>
      </x:c>
      <x:c r="B65" s="33">
        <x:f>B64*(1+Raw_Returns!B63)</x:f>
        <x:v>96.18179433844155</x:v>
      </x:c>
      <x:c r="C65" s="34">
        <x:f>B65/MAX($B$6:B65)-1</x:f>
        <x:v>-0.5214834707811442</x:v>
      </x:c>
      <x:c r="D65" s="33">
        <x:f>D64*(1+Raw_Returns!C63)</x:f>
        <x:v>167.22810911972846</x:v>
      </x:c>
      <x:c r="E65" s="34">
        <x:f>D65/MAX($D$6:D65)-1</x:f>
        <x:v>-0.07679601944822467</x:v>
      </x:c>
      <x:c r="F65" s="33">
        <x:f>F64*(1+Raw_Returns!D63)</x:f>
        <x:v>152.05556513656734</x:v>
      </x:c>
      <x:c r="G65" s="34">
        <x:f>F65/MAX($F$6:F65)-1</x:f>
        <x:v>-0.230139367169502</x:v>
      </x:c>
    </x:row>
    <x:row r="66">
      <x:c r="A66" s="23" t="n">
        <x:v>46022</x:v>
      </x:c>
      <x:c r="B66" s="33">
        <x:f>B65*(1+Raw_Returns!B64)</x:f>
        <x:v>98.2593210961519</x:v>
      </x:c>
      <x:c r="C66" s="34">
        <x:f>B66/MAX($B$6:B66)-1</x:f>
        <x:v>-0.5111475137500168</x:v>
      </x:c>
      <x:c r="D66" s="33">
        <x:f>D65*(1+Raw_Returns!C64)</x:f>
        <x:v>172.71319109885553</x:v>
      </x:c>
      <x:c r="E66" s="34">
        <x:f>D66/MAX($D$6:D66)-1</x:f>
        <x:v>-0.046514928886126516</x:v>
      </x:c>
      <x:c r="F66" s="33">
        <x:f>F65*(1+Raw_Returns!D64)</x:f>
        <x:v>148.6951371470492</x:v>
      </x:c>
      <x:c r="G66" s="34">
        <x:f>F66/MAX($F$6:F66)-1</x:f>
        <x:v>-0.24715328715505602</x:v>
      </x:c>
    </x:row>
    <x:row r="67">
      <x:c r="A67" s="23" t="n">
        <x:v>46053</x:v>
      </x:c>
      <x:c r="B67" s="33">
        <x:f>B66*(1+Raw_Returns!B65)</x:f>
        <x:v>89.05242270944247</x:v>
      </x:c>
      <x:c r="C67" s="34">
        <x:f>B67/MAX($B$6:B67)-1</x:f>
        <x:v>-0.5569529917116403</x:v>
      </x:c>
      <x:c r="D67" s="33">
        <x:f>D66*(1+Raw_Returns!C65)</x:f>
        <x:v>166.15008983709902</x:v>
      </x:c>
      <x:c r="E67" s="34">
        <x:f>D67/MAX($D$6:D67)-1</x:f>
        <x:v>-0.08274736158845375</x:v>
      </x:c>
      <x:c r="F67" s="33">
        <x:f>F66*(1+Raw_Returns!D65)</x:f>
        <x:v>152.44225460315482</x:v>
      </x:c>
      <x:c r="G67" s="34">
        <x:f>F67/MAX($F$6:F67)-1</x:f>
        <x:v>-0.22818154999136353</x:v>
      </x:c>
    </x:row>
    <x:row r="68">
      <x:c r="A68" s="23" t="n">
        <x:v>46081</x:v>
      </x:c>
      <x:c r="B68" s="33">
        <x:f>B67*(1+Raw_Returns!B66)</x:f>
        <x:v>72.99627089492999</x:v>
      </x:c>
      <x:c r="C68" s="34">
        <x:f>B68/MAX($B$6:B68)-1</x:f>
        <x:v>-0.6368343673060315</x:v>
      </x:c>
      <x:c r="D68" s="33">
        <x:f>D67*(1+Raw_Returns!C66)</x:f>
        <x:v>169.62262671469438</x:v>
      </x:c>
      <x:c r="E68" s="34">
        <x:f>D68/MAX($D$6:D68)-1</x:f>
        <x:v>-0.06357678144565249</x:v>
      </x:c>
      <x:c r="F68" s="33">
        <x:f>F67*(1+Raw_Returns!D66)</x:f>
        <x:v>148.0824061215046</x:v>
      </x:c>
      <x:c r="G68" s="34">
        <x:f>F68/MAX($F$6:F68)-1</x:f>
        <x:v>-0.25025555766161056</x:v>
      </x:c>
    </x:row>
    <x:row r="69">
      <x:c r="A69" s="23" t="n">
        <x:v>46112</x:v>
      </x:c>
      <x:c r="B69" s="33">
        <x:f>B68*(1+Raw_Returns!B67)</x:f>
        <x:v>63.97393181231664</x:v>
      </x:c>
      <x:c r="C69" s="34">
        <x:f>B69/MAX($B$6:B69)-1</x:f>
        <x:v>-0.681721639507006</x:v>
      </x:c>
      <x:c r="D69" s="33">
        <x:f>D68*(1+Raw_Returns!C67)</x:f>
        <x:v>150.62489252264862</x:v>
      </x:c>
      <x:c r="E69" s="34">
        <x:f>D69/MAX($D$6:D69)-1</x:f>
        <x:v>-0.16845618192373935</x:v>
      </x:c>
      <x:c r="F69" s="33">
        <x:f>F68*(1+Raw_Returns!D67)</x:f>
        <x:v>165.00822514119258</x:v>
      </x:c>
      <x:c r="G69" s="34">
        <x:f>F69/MAX($F$6:F69)-1</x:f>
        <x:v>-0.1645597679023325</x:v>
      </x:c>
    </x:row>
    <x:row r="70">
      <x:c r="A70" s="23" t="n">
        <x:v>46142</x:v>
      </x:c>
      <x:c r="B70" s="33">
        <x:f>B69*(1+Raw_Returns!B68)</x:f>
        <x:v>70.01946836858056</x:v>
      </x:c>
      <x:c r="C70" s="34">
        <x:f>B70/MAX($B$6:B70)-1</x:f>
        <x:v>-0.6516443344404181</x:v>
      </x:c>
      <x:c r="D70" s="33">
        <x:f>D69*(1+Raw_Returns!C68)</x:f>
        <x:v>156.3787634170138</x:v>
      </x:c>
      <x:c r="E70" s="34">
        <x:f>D70/MAX($D$6:D70)-1</x:f>
        <x:v>-0.1366912080732262</x:v>
      </x:c>
      <x:c r="F70" s="33">
        <x:f>F69*(1+Raw_Returns!D68)</x:f>
        <x:v>166.5758032800339</x:v>
      </x:c>
      <x:c r="G70" s="34">
        <x:f>F70/MAX($F$6:F70)-1</x:f>
        <x:v>-0.15662308569740468</x:v>
      </x:c>
    </x:row>
  </x:sheetData>
  <x:mergeCells>
    <x:mergeCell ref="M19:O19"/>
    <x:mergeCell ref="A1:M2"/>
    <x:mergeCell ref="M18:O18"/>
    <x:mergeCell ref="M17:O17"/>
    <x:mergeCell ref="M16:O16"/>
    <x:mergeCell ref="M20:O2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6" customWidth="1"/>
    <x:col min="2" max="2" width="90" customWidth="1"/>
  </x:cols>
  <x:sheetData>
    <x:row r="1">
      <x:c r="A1" s="12" t="inlineStr">
        <x:is>
          <x:t xml:space="preserve">Methodology &amp; Caveats</x:t>
        </x:is>
      </x:c>
    </x:row>
    <x:row r="2"/>
    <x:row r="4">
      <x:c r="A4" s="40" t="inlineStr">
        <x:is>
          <x:t xml:space="preserve">Field</x:t>
        </x:is>
      </x:c>
      <x:c r="B4" s="40" t="inlineStr">
        <x:is>
          <x:t xml:space="preserve">Value</x:t>
        </x:is>
      </x:c>
    </x:row>
    <x:row r="5">
      <x:c r="A5" s="41" t="inlineStr">
        <x:is>
          <x:t xml:space="preserve">Objective</x:t>
        </x:is>
      </x:c>
      <x:c r="B5" s="17" t="inlineStr">
        <x:is>
          <x:t xml:space="preserve">Share price analysis workbook for Stellantis, Mercedes-Benz, BYD</x:t>
        </x:is>
      </x:c>
    </x:row>
    <x:row r="6">
      <x:c r="A6" s="41" t="inlineStr">
        <x:is>
          <x:t xml:space="preserve">Return basis</x:t>
        </x:is>
      </x:c>
      <x:c r="B6" s="17" t="inlineStr">
        <x:is>
          <x:t xml:space="preserve">Monthly return inputs are transcribed as decimal total returns and then compounded into an indexed series.</x:t>
        </x:is>
      </x:c>
    </x:row>
    <x:row r="7">
      <x:c r="A7" s="41" t="inlineStr">
        <x:is>
          <x:t xml:space="preserve">Base convention</x:t>
        </x:is>
      </x:c>
      <x:c r="B7" s="17" t="inlineStr">
        <x:is>
          <x:t xml:space="preserve">The main chart uses Jan-2021 = 100 for visual comparison.</x:t>
        </x:is>
      </x:c>
    </x:row>
    <x:row r="8">
      <x:c r="A8" s="41" t="inlineStr">
        <x:is>
          <x:t xml:space="preserve">Period metrics</x:t>
        </x:is>
      </x:c>
      <x:c r="B8" s="17" t="inlineStr">
        <x:is>
          <x:t xml:space="preserve">YTD uses Dec-2025 to Apr-2026. 1Y uses Apr-2025 to Apr-2026. 3Y CAGR uses Apr-2023 to Apr-2026. 5Y CAGR uses Apr-2021 to Apr-2026.</x:t>
        </x:is>
      </x:c>
    </x:row>
    <x:row r="9">
      <x:c r="A9" s="41" t="inlineStr">
        <x:is>
          <x:t xml:space="preserve">Volatility</x:t>
        </x:is>
      </x:c>
      <x:c r="B9" s="17" t="inlineStr">
        <x:is>
          <x:t xml:space="preserve">1Y annualized volatility = standard deviation of the last 12 monthly returns × SQRT(12).</x:t>
        </x:is>
      </x:c>
    </x:row>
    <x:row r="10" ht="28" customHeight="1">
      <x:c r="A10" s="68" t="inlineStr">
        <x:is>
          <x:t xml:space="preserve">Narrative location</x:t>
        </x:is>
      </x:c>
      <x:c r="B10" s="65" t="inlineStr">
        <x:is>
          <x:t xml:space="preserve">See the 'Narrative' tab for slide-ready text and the 'Sources' tab for the full source log.</x:t>
        </x:is>
      </x:c>
    </x:row>
    <x:row r="11" ht="28" customHeight="1">
      <x:c r="A11" s="68" t="inlineStr">
        <x:is>
          <x:t xml:space="preserve">Primary market-data source URLs</x:t>
        </x:is>
      </x:c>
      <x:c r="B11" s="65" t="inlineStr">
        <x:is>
          <x:t xml:space="preserve">https://portfolioslab.com/symbol/STLA | https://portfolioslab.com/symbol/MBG.DE | https://portfolioslab.com/symbol/1211.HK</x:t>
        </x:is>
      </x:c>
    </x:row>
    <x:row r="12" ht="28" customHeight="1">
      <x:c r="A12" s="68" t="inlineStr">
        <x:is>
          <x:t xml:space="preserve">News source log</x:t>
        </x:is>
      </x:c>
      <x:c r="B12" s="65" t="inlineStr">
        <x:is>
          <x:t xml:space="preserve">See the 'Sources' tab for Reuters article URLs used to explain volatility and price drivers.</x:t>
        </x:is>
      </x:c>
    </x:row>
  </x:sheetData>
  <x:mergeCells>
    <x:mergeCell ref="A1:B2"/>
  </x:mergeCells>
  <x:pageMargins left="0.7" right="0.7" top="0.75" bottom="0.75" header="0.3" footer="0.3"/>
</x:worksheet>
</file>