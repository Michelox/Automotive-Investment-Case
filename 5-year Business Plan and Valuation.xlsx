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llantis " sheetId="1" r:id="rId4"/>
    <sheet state="visible" name="Mercedes-Benz" sheetId="2" r:id="rId5"/>
    <sheet state="visible" name="BYD" sheetId="3" r:id="rId6"/>
    <sheet state="visible" name="values" sheetId="4" r:id="rId7"/>
  </sheets>
  <externalReferences>
    <externalReference r:id="rId8"/>
  </externalReferences>
  <definedNames/>
  <calcPr/>
</workbook>
</file>

<file path=xl/sharedStrings.xml><?xml version="1.0" encoding="utf-8"?>
<sst xmlns="http://schemas.openxmlformats.org/spreadsheetml/2006/main" count="356" uniqueCount="160">
  <si>
    <t>Stellantis</t>
  </si>
  <si>
    <t>2024A</t>
  </si>
  <si>
    <t>2025E</t>
  </si>
  <si>
    <t>2026E</t>
  </si>
  <si>
    <t>2027E</t>
  </si>
  <si>
    <t>2028E</t>
  </si>
  <si>
    <t>2029E</t>
  </si>
  <si>
    <t>calculations in €bn - billion EUR</t>
  </si>
  <si>
    <t>%YoY growth</t>
  </si>
  <si>
    <t>YoY growth</t>
  </si>
  <si>
    <t>Moderate growth → normalizes to ~4%</t>
  </si>
  <si>
    <t>Mature, cyclical industry</t>
  </si>
  <si>
    <t>EBITDA</t>
  </si>
  <si>
    <t xml:space="preserve">% Total Revenues </t>
  </si>
  <si>
    <t>EBITDA margin</t>
  </si>
  <si>
    <t>Gradual recovery (7% → 9%)</t>
  </si>
  <si>
    <t>Cost efficiency, but still conservative</t>
  </si>
  <si>
    <t>D&amp;A</t>
  </si>
  <si>
    <t>%T-1 fixed assets + Capex</t>
  </si>
  <si>
    <t>Stable ~6% of revenue</t>
  </si>
  <si>
    <t>Reflects capital-intensive asset base</t>
  </si>
  <si>
    <t>TWC</t>
  </si>
  <si>
    <t>% Total Revenues</t>
  </si>
  <si>
    <t>Gradually increasing (5% → 6%)</t>
  </si>
  <si>
    <t>Reflects working capital intensity</t>
  </si>
  <si>
    <t>Capex</t>
  </si>
  <si>
    <t>Above D&amp;A short-term → converges</t>
  </si>
  <si>
    <t>EV transition + steady-state normalization</t>
  </si>
  <si>
    <t>Total Fixed Assets</t>
  </si>
  <si>
    <t>Data in €m</t>
  </si>
  <si>
    <t>WACC &amp; Terminal Value</t>
  </si>
  <si>
    <t>TV</t>
  </si>
  <si>
    <t>+ EBITDA</t>
  </si>
  <si>
    <t>- D&amp;A</t>
  </si>
  <si>
    <t>EBIT</t>
  </si>
  <si>
    <t>Risk Free Rate (EUR)</t>
  </si>
  <si>
    <t>- Tax</t>
  </si>
  <si>
    <t>Equity Market Risk Premium</t>
  </si>
  <si>
    <t>+ D&amp;A</t>
  </si>
  <si>
    <t>Credit spread (BBB-)</t>
  </si>
  <si>
    <t>- Δ NWC</t>
  </si>
  <si>
    <t xml:space="preserve">D/(D+E) </t>
  </si>
  <si>
    <t>Unlevered Free Cash Flow Before Capex</t>
  </si>
  <si>
    <t>E/(D+E)</t>
  </si>
  <si>
    <t>% of EBITDA</t>
  </si>
  <si>
    <t>D/E</t>
  </si>
  <si>
    <t>- Capex</t>
  </si>
  <si>
    <t>Beta (from Marco)</t>
  </si>
  <si>
    <t>Unlevered Free Cash Flow</t>
  </si>
  <si>
    <t>Cost of Equity</t>
  </si>
  <si>
    <t>Cost of Debt</t>
  </si>
  <si>
    <t>NPV of UFCF</t>
  </si>
  <si>
    <t>Tax-Rate</t>
  </si>
  <si>
    <t>NPV of TV</t>
  </si>
  <si>
    <t>Enterprise Value</t>
  </si>
  <si>
    <t>Net Debt</t>
  </si>
  <si>
    <t>WACC</t>
  </si>
  <si>
    <t>Equity Value</t>
  </si>
  <si>
    <t>Implied Multiples</t>
  </si>
  <si>
    <t>EV/EBITDA</t>
  </si>
  <si>
    <t>Terminal Value (€m)</t>
  </si>
  <si>
    <t>EBITDA 2025A</t>
  </si>
  <si>
    <t>g</t>
  </si>
  <si>
    <t>EBITDA 2026E</t>
  </si>
  <si>
    <t>UFCF 2030</t>
  </si>
  <si>
    <t>EBITDA 2027E</t>
  </si>
  <si>
    <t>EBITDA 2028E</t>
  </si>
  <si>
    <t>EBITDA 2029E</t>
  </si>
  <si>
    <t>Mercedes-Benz</t>
  </si>
  <si>
    <t xml:space="preserve">YoY% </t>
  </si>
  <si>
    <t>Weak performance in 2025–2026 due to lower volumes and macroeconomic pressure (China, tariffs)</t>
  </si>
  <si>
    <t>-</t>
  </si>
  <si>
    <t>Moderate growth from 2027 driven by new model launches and increasing EV demand</t>
  </si>
  <si>
    <t>EBITDA%</t>
  </si>
  <si>
    <t>Short-term margin pressure due to pricing competition and lower volumes</t>
  </si>
  <si>
    <t>Gradual improvement driven by cost reductions and a stronger product mix (premium + EV)</t>
  </si>
  <si>
    <t>D&amp;A%</t>
  </si>
  <si>
    <t>Consistently high depreciation reflecting ongoing investments in EVs and software</t>
  </si>
  <si>
    <t>Follows a relatively stable capex level</t>
  </si>
  <si>
    <t>TWC%</t>
  </si>
  <si>
    <t>Sharp reduction from 2024 due to normalization after elevated inventory levels</t>
  </si>
  <si>
    <t>Gradual improvement from better inventory management and operational efficiency</t>
  </si>
  <si>
    <t>CapEx%</t>
  </si>
  <si>
    <t>Temporarily elevated due to investments in electrification and technology</t>
  </si>
  <si>
    <t>Normalizes after 2026 as investment programs mature</t>
  </si>
  <si>
    <t>TFA</t>
  </si>
  <si>
    <t>Slight decline driven by more efficient capital utilization and asset optimization</t>
  </si>
  <si>
    <t>Partially offset by continued investments in new technology</t>
  </si>
  <si>
    <t>2025A</t>
  </si>
  <si>
    <t xml:space="preserve">Credit spread </t>
  </si>
  <si>
    <t>D/(D+E)</t>
  </si>
  <si>
    <t>Calculated WACC</t>
  </si>
  <si>
    <t xml:space="preserve">WACC </t>
  </si>
  <si>
    <t>WACC group</t>
  </si>
  <si>
    <t>WACC needs to be higher than 3.76 and g needs to be lower than  2.5 for the enterprise value to be somewhat reasonable and not crazy high</t>
  </si>
  <si>
    <t xml:space="preserve">BYD </t>
  </si>
  <si>
    <t>calculations in billions CNY</t>
  </si>
  <si>
    <t>YoY%</t>
  </si>
  <si>
    <t>High growth driven by strong EV demand, international expansion, and increasing market share</t>
  </si>
  <si>
    <t>Gradual slowdown as the company scales and the base effect increases</t>
  </si>
  <si>
    <t>Stable to slightly improving margins due to economies of scale and vertical integration</t>
  </si>
  <si>
    <t>Partially offset by pricing pressure and continued investment in growth</t>
  </si>
  <si>
    <t>High and stable depreciation reflecting heavy ongoing investments in production capacity and technology</t>
  </si>
  <si>
    <t>Closely follows sustained elevated capex levels</t>
  </si>
  <si>
    <t>Structurally negative due to strong supplier financing and customer prepayments</t>
  </si>
  <si>
    <t>Slight improvement over time as operations mature and growth stabilizes</t>
  </si>
  <si>
    <t>Elevated in early years due to aggressive expansion in EV production and technology</t>
  </si>
  <si>
    <t>Gradually declines as major capacity investments are completed</t>
  </si>
  <si>
    <t>Strong growth driven by continuous investment in manufacturing capacity and infrastructure</t>
  </si>
  <si>
    <t>Reflects expansion both domestically and internationally</t>
  </si>
  <si>
    <t>Risk Free Rate (CNY)</t>
  </si>
  <si>
    <t>Credit spread</t>
  </si>
  <si>
    <t>wacc calculated</t>
  </si>
  <si>
    <t>0.2% or 10.94%??</t>
  </si>
  <si>
    <t>EBITDA 2025E</t>
  </si>
  <si>
    <t>UFCF 2031</t>
  </si>
  <si>
    <t>Stellantis (EUR)</t>
  </si>
  <si>
    <t>2022A</t>
  </si>
  <si>
    <t>2023A</t>
  </si>
  <si>
    <t>2025B</t>
  </si>
  <si>
    <t xml:space="preserve">Revenue </t>
  </si>
  <si>
    <t>tax provision</t>
  </si>
  <si>
    <t>Pretax Income</t>
  </si>
  <si>
    <t xml:space="preserve">Tax rate </t>
  </si>
  <si>
    <t xml:space="preserve">Capex </t>
  </si>
  <si>
    <t>dWC</t>
  </si>
  <si>
    <t>Total Debt</t>
  </si>
  <si>
    <t xml:space="preserve">Net Debt </t>
  </si>
  <si>
    <t>Total Equity</t>
  </si>
  <si>
    <t xml:space="preserve">Cash </t>
  </si>
  <si>
    <t xml:space="preserve">beta </t>
  </si>
  <si>
    <t>Interest expenses</t>
  </si>
  <si>
    <t>NOPAT</t>
  </si>
  <si>
    <t>FCF</t>
  </si>
  <si>
    <t>MRP (netherlands)</t>
  </si>
  <si>
    <t>Riskfree rate (EUR)</t>
  </si>
  <si>
    <t>K_E</t>
  </si>
  <si>
    <t>Default spread</t>
  </si>
  <si>
    <t>K_D1 (Rf + def)</t>
  </si>
  <si>
    <t>K_D avg</t>
  </si>
  <si>
    <t>E/(E+D)</t>
  </si>
  <si>
    <t>D/(E+D)</t>
  </si>
  <si>
    <t>WACC_1</t>
  </si>
  <si>
    <t>Mercedes-Benz (EUR)</t>
  </si>
  <si>
    <t>Revenue</t>
  </si>
  <si>
    <t>Tax rate</t>
  </si>
  <si>
    <t>Cash</t>
  </si>
  <si>
    <t>beta</t>
  </si>
  <si>
    <t>MRP (Germany)</t>
  </si>
  <si>
    <t>K_D</t>
  </si>
  <si>
    <t>BYD (CNY)</t>
  </si>
  <si>
    <t>MRP (China)</t>
  </si>
  <si>
    <t>Riskfree rate (CNY)</t>
  </si>
  <si>
    <t xml:space="preserve">D/E </t>
  </si>
  <si>
    <t>Sources:</t>
  </si>
  <si>
    <t>Yahoo finance and morningstar</t>
  </si>
  <si>
    <t>Beta values is found on yahoo! Finance under summary - statistics</t>
  </si>
  <si>
    <t>Damodaran excel sheet from Linkedin</t>
  </si>
  <si>
    <t>Damodaran: Country Risk: Determinants, Measures and Implications – The 2025 Edition</t>
  </si>
  <si>
    <t>https://papers.ssrn.com/sol3/papers.cfm?abstract_id=5354459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</si>
</sst>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###0&quot;A&quot;"/>
    <numFmt numFmtId="165" formatCode="###0&quot;E&quot;"/>
    <numFmt numFmtId="166" formatCode="#,##0.0"/>
    <numFmt numFmtId="167" formatCode="#,##0.0;\(#,##0.0\);&quot;-&quot;"/>
    <numFmt numFmtId="168" formatCode="0.0%;\(0.0%\);&quot;-&quot;"/>
    <numFmt numFmtId="169" formatCode="0.0"/>
    <numFmt numFmtId="170" formatCode="0.0%"/>
    <numFmt numFmtId="171" formatCode="####&quot;E&quot;"/>
    <numFmt numFmtId="172" formatCode="0.0%;\(0.0%\);\-"/>
    <numFmt numFmtId="173" formatCode="0.00000"/>
    <numFmt numFmtId="174" formatCode="0.0%&quot; of EV&quot;;\(0.0%\);\-"/>
    <numFmt numFmtId="175" formatCode="0.0&quot;x&quot;"/>
    <numFmt numFmtId="176" formatCode="#,##0.0&quot;x&quot;;\(#,##0.0\);&quot;-&quot;"/>
    <numFmt numFmtId="177" formatCode="0.000000000%"/>
    <numFmt numFmtId="178" formatCode="0.00_);\(0.00\)"/>
    <numFmt numFmtId="179" formatCode="0.0_);\(0.0\)"/>
    <numFmt numFmtId="180" formatCode="0.000%"/>
    <numFmt numFmtId="181" formatCode="0.000"/>
    <numFmt numFmtId="182" formatCode="0.0000"/>
  </numFmts>
  <fonts count="52">
    <font>
      <sz val="12.0"/>
      <color/>
      <name val="Arial"/>
      <scheme val="minor"/>
    </font>
    <font>
      <i/>
      <sz val="10.0"/>
      <color rgb="FFA5A5A5"/>
      <name val="Aptos Narrow"/>
    </font>
    <font>
      <b/>
      <sz val="14.0"/>
      <color/>
      <name val="Aptos Narrow"/>
    </font>
    <font>
      <b/>
      <sz val="10.0"/>
      <color/>
      <name val="Aptos Narrow"/>
    </font>
    <font>
      <sz val="10.0"/>
      <color/>
      <name val="Aptos Narrow"/>
    </font>
    <font>
      <b/>
      <sz val="12.0"/>
      <color/>
      <name val="Aptos Narrow"/>
    </font>
    <font>
      <b/>
      <i/>
      <sz val="10.0"/>
      <color/>
      <name val="Aptos Narrow"/>
    </font>
    <font>
      <sz val="12.0"/>
      <color/>
      <name val="Aptos Narrow"/>
    </font>
    <font>
      <b/>
      <sz val="10.0"/>
      <name val="Aptos Narrow"/>
    </font>
    <font>
      <b/>
      <i/>
      <sz val="10.0"/>
      <name val="Aptos Narrow"/>
    </font>
    <font>
      <b/>
      <i/>
      <sz val="10.0"/>
      <color rgb="FF0432FF"/>
      <name val="Aptos Narrow"/>
    </font>
    <font>
      <i/>
      <sz val="10.0"/>
      <color rgb="FFC00000"/>
      <name val="Aptos Narrow"/>
    </font>
    <font>
      <i/>
      <sz val="10.0"/>
      <color rgb="FF0000FF"/>
      <name val="Aptos Narrow"/>
    </font>
    <font>
      <i/>
      <sz val="10.0"/>
      <color rgb="FF0432FF"/>
      <name val="Aptos Narrow"/>
    </font>
    <font>
      <sz val="12.0"/>
      <color rgb="FF000000"/>
      <name val="Aptos Narrow"/>
    </font>
    <font>
      <sz val="10.0"/>
      <name val="Aptos Narrow"/>
    </font>
    <font>
      <b/>
      <sz val="10.0"/>
      <color rgb="FF123253"/>
      <name val="Aptos Narrow"/>
    </font>
    <font>
      <sz val="10.0"/>
      <color rgb="FF0000FF"/>
      <name val="Aptos Narrow"/>
    </font>
    <font>
      <sz val="10.0"/>
      <color rgb="FFA5A5A5"/>
      <name val="Aptos Narrow"/>
    </font>
    <font>
      <sz val="11.0"/>
      <color rgb="FF000000"/>
      <name val="Aptos Narrow"/>
    </font>
    <font>
      <sz val="10.0"/>
      <color rgb="FF7030A0"/>
      <name val="Aptos Narrow"/>
    </font>
    <font>
      <sz val="11.0"/>
      <name val="Aptos Narrow"/>
    </font>
    <font>
      <sz val="11.0"/>
      <color/>
      <name val="Aptos Narrow"/>
    </font>
    <font>
      <i/>
      <sz val="11.0"/>
      <color/>
      <name val="Aptos Narrow"/>
    </font>
    <font>
      <i/>
      <sz val="10.0"/>
      <color/>
      <name val="Aptos Narrow"/>
    </font>
    <font>
      <sz val="10.0"/>
      <color rgb="FF123253"/>
      <name val="Aptos Narrow"/>
    </font>
    <font>
      <b/>
      <sz val="12.0"/>
      <color/>
      <name val="Aptos Narrow (Body)"/>
    </font>
    <font>
      <b/>
      <sz val="11.0"/>
      <color/>
      <name val="Aptos Narrow"/>
    </font>
    <font>
      <b/>
      <sz val="11.0"/>
      <color rgb="FF000000"/>
      <name val="Aptos Narrow"/>
    </font>
    <font>
      <b/>
      <sz val="11.0"/>
      <name val="Aptos Narrow"/>
    </font>
    <font>
      <b/>
      <i/>
      <sz val="11.0"/>
      <name val="Aptos Narrow"/>
    </font>
    <font>
      <b/>
      <i/>
      <sz val="11.0"/>
      <color rgb="FF0432FF"/>
      <name val="Aptos Narrow"/>
    </font>
    <font>
      <i/>
      <sz val="11.0"/>
      <color rgb="FFC00000"/>
      <name val="Aptos Narrow"/>
    </font>
    <font>
      <i/>
      <sz val="11.0"/>
      <color rgb="FF0000FF"/>
      <name val="Aptos Narrow"/>
    </font>
    <font>
      <i/>
      <sz val="11.0"/>
      <color rgb="FF0432FF"/>
      <name val="Aptos Narrow"/>
    </font>
    <font>
      <b/>
      <sz val="13.0"/>
      <color/>
      <name val="Aptos Narrow"/>
    </font>
    <font>
      <b/>
      <sz val="11.0"/>
      <color rgb="FF123253"/>
      <name val="Aptos Narrow"/>
    </font>
    <font>
      <sz val="11.0"/>
      <color rgb="FF0000FF"/>
      <name val="Aptos Narrow"/>
    </font>
    <font>
      <sz val="11.0"/>
      <color rgb="FF7030A0"/>
      <name val="Aptos Narrow"/>
    </font>
    <font>
      <sz val="11.0"/>
      <color rgb="FF123253"/>
      <name val="Aptos Narrow"/>
    </font>
    <font>
      <u/>
      <sz val="12.0"/>
      <color/>
      <name val="Aptos Narrow"/>
    </font>
    <font>
      <b/>
      <i/>
      <sz val="11.0"/>
      <color/>
      <name val="Aptos Narrow"/>
    </font>
    <font>
      <i/>
      <sz val="11.0"/>
      <color rgb="FFA5A5A5"/>
      <name val="Aptos Narrow"/>
    </font>
    <font>
      <sz val="11.0"/>
      <color rgb="FFA5A5A5"/>
      <name val="Aptos Narrow"/>
    </font>
    <font>
      <b/>
      <sz val="12.0"/>
      <color rgb="FF000000"/>
      <name val="Aptos Narrow"/>
    </font>
    <font>
      <b/>
      <sz val="18.0"/>
      <color rgb="FF000000"/>
      <name val="Aptos Narrow"/>
    </font>
    <font>
      <sz val="18.0"/>
      <color/>
      <name val="Aptos Narrow"/>
    </font>
    <font>
      <b/>
      <sz val="11.0"/>
      <color rgb="FF000000"/>
      <name val="Times New Roman"/>
    </font>
    <font>
      <sz val="12.0"/>
      <color rgb="FFFF0000"/>
      <name val="Aptos Narrow"/>
    </font>
    <font>
      <b/>
      <sz val="20.0"/>
      <color rgb="FF000000"/>
      <name val="Times New Roman"/>
    </font>
    <font/>
    <font>
      <b/>
      <sz val="18.0"/>
      <color/>
      <name val="Aptos Narrow"/>
    </font>
  </fonts>
  <fills count="13">
    <fill>
      <patternFill patternType="none"/>
    </fill>
    <fill>
      <patternFill patternType="lightGray"/>
    </fill>
    <fill>
      <patternFill patternType="solid">
        <fgColor rgb="FF123253"/>
        <bgColor rgb="FF123253"/>
      </patternFill>
    </fill>
    <fill>
      <patternFill patternType="solid">
        <fgColor rgb="FF2465A7"/>
        <bgColor rgb="FF2465A7"/>
      </patternFill>
    </fill>
    <fill>
      <patternFill patternType="solid">
        <fgColor rgb="FFD0D0D0"/>
        <bgColor rgb="FFD0D0D0"/>
      </patternFill>
    </fill>
    <fill>
      <patternFill patternType="solid">
        <fgColor rgb="FFA6C9EB"/>
        <bgColor rgb="FFA6C9EB"/>
      </patternFill>
    </fill>
    <fill>
      <patternFill patternType="solid">
        <fgColor rgb="FFC6D9F1"/>
        <bgColor rgb="FFC6D9F1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8ED873"/>
        <bgColor rgb="FF8ED873"/>
      </patternFill>
    </fill>
    <fill>
      <patternFill patternType="solid">
        <fgColor rgb="FF133152"/>
        <bgColor rgb="FF133152"/>
      </patternFill>
    </fill>
    <fill>
      <patternFill patternType="solid">
        <fgColor rgb="FF82CCEC"/>
        <bgColor rgb="FF82CCEC"/>
      </patternFill>
    </fill>
  </fills>
  <borders count="22">
    <border/>
    <border>
      <left style="medium">
        <color/>
      </left>
      <right/>
      <top style="medium">
        <color/>
      </top>
      <bottom style="medium">
        <color/>
      </bottom>
    </border>
    <border>
      <left/>
      <right style="medium">
        <color/>
      </right>
      <top style="medium">
        <color/>
      </top>
      <bottom style="medium">
        <color/>
      </bottom>
    </border>
    <border>
      <left style="medium">
        <color/>
      </left>
      <right style="medium">
        <color/>
      </right>
      <top style="medium">
        <color/>
      </top>
      <bottom style="medium">
        <color/>
      </bottom>
    </border>
    <border>
      <left/>
      <right/>
      <top/>
      <bottom/>
    </border>
    <border>
      <bottom style="thin">
        <color rgb="FF000000"/>
      </bottom>
    </border>
    <border>
      <bottom style="thin">
        <color/>
      </bottom>
    </border>
    <border>
      <left/>
      <right/>
      <top style="thin">
        <color/>
      </top>
      <bottom/>
    </border>
    <border>
      <left style="thin">
        <color/>
      </left>
      <right/>
      <top style="thin">
        <color/>
      </top>
      <bottom style="thin">
        <color/>
      </bottom>
    </border>
    <border>
      <left/>
      <right/>
      <top style="thin">
        <color/>
      </top>
      <bottom style="thin">
        <color/>
      </bottom>
    </border>
    <border>
      <left/>
      <right style="thin">
        <color/>
      </right>
      <top style="thin">
        <color/>
      </top>
      <bottom style="thin">
        <color/>
      </bottom>
    </border>
    <border>
      <left/>
      <right/>
      <top style="medium">
        <color/>
      </top>
      <bottom style="medium">
        <color/>
      </bottom>
    </border>
    <border>
      <top style="medium">
        <color/>
      </top>
    </border>
    <border>
      <left/>
      <right/>
      <top style="medium">
        <color/>
      </top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/>
      </bottom>
    </border>
    <border>
      <bottom style="medium">
        <color rgb="FF123253"/>
      </bottom>
    </border>
    <border>
      <left style="thin">
        <color rgb="FF000000"/>
      </left>
      <right style="thin">
        <color rgb="FF000000"/>
      </right>
      <top style="thin">
        <color/>
      </top>
      <bottom style="thin">
        <color/>
      </bottom>
    </border>
    <border>
      <left/>
      <right/>
      <top style="thin">
        <color rgb="FF000000"/>
      </top>
      <bottom style="thin">
        <color/>
      </bottom>
    </border>
  </borders>
  <cellStyleXfs count="1">
    <xf borderId="0" fillId="0" fontId="0" numFmtId="0" applyAlignment="1" applyFont="1"/>
  </cellStyleXfs>
  <cellXfs count="3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vertical="center"/>
    </xf>
    <xf borderId="3" fillId="2" fontId="3" numFmtId="164" xfId="0" applyAlignment="1" applyBorder="1" applyFont="1" applyNumberFormat="1">
      <alignment horizontal="center" vertical="center"/>
    </xf>
    <xf borderId="3" fillId="3" fontId="3" numFmtId="164" xfId="0" applyAlignment="1" applyBorder="1" applyFill="1" applyFont="1" applyNumberFormat="1">
      <alignment horizontal="center" vertical="center"/>
    </xf>
    <xf borderId="3" fillId="3" fontId="3" numFmtId="165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5" numFmtId="0" xfId="0" applyFont="1"/>
    <xf borderId="4" fillId="4" fontId="6" numFmtId="0" xfId="0" applyAlignment="1" applyBorder="1" applyFill="1" applyFont="1">
      <alignment horizontal="left" vertical="center"/>
    </xf>
    <xf borderId="4" fillId="4" fontId="3" numFmtId="0" xfId="0" applyAlignment="1" applyBorder="1" applyFont="1">
      <alignment horizontal="center" vertical="center"/>
    </xf>
    <xf borderId="4" fillId="4" fontId="7" numFmtId="166" xfId="0" applyAlignment="1" applyBorder="1" applyFont="1" applyNumberFormat="1">
      <alignment horizontal="center" vertical="center"/>
    </xf>
    <xf borderId="4" fillId="4" fontId="7" numFmtId="39" xfId="0" applyAlignment="1" applyBorder="1" applyFont="1" applyNumberFormat="1">
      <alignment horizontal="center" vertical="center"/>
    </xf>
    <xf borderId="4" fillId="4" fontId="8" numFmtId="167" xfId="0" applyAlignment="1" applyBorder="1" applyFont="1" applyNumberFormat="1">
      <alignment horizontal="center" vertical="center"/>
    </xf>
    <xf borderId="0" fillId="0" fontId="4" numFmtId="0" xfId="0" applyFont="1"/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9" numFmtId="168" xfId="0" applyAlignment="1" applyFont="1" applyNumberFormat="1">
      <alignment horizontal="center" vertical="center"/>
    </xf>
    <xf borderId="0" fillId="0" fontId="10" numFmtId="168" xfId="0" applyAlignment="1" applyFont="1" applyNumberFormat="1">
      <alignment horizontal="center" vertic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5" fillId="0" fontId="3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6" fillId="0" fontId="7" numFmtId="39" xfId="0" applyBorder="1" applyFont="1" applyNumberFormat="1"/>
    <xf borderId="5" fillId="0" fontId="4" numFmtId="167" xfId="0" applyAlignment="1" applyBorder="1" applyFont="1" applyNumberFormat="1">
      <alignment horizontal="center" vertical="center"/>
    </xf>
    <xf borderId="4" fillId="5" fontId="6" numFmtId="0" xfId="0" applyAlignment="1" applyBorder="1" applyFill="1" applyFont="1">
      <alignment vertical="center"/>
    </xf>
    <xf borderId="4" fillId="5" fontId="3" numFmtId="0" xfId="0" applyAlignment="1" applyBorder="1" applyFont="1">
      <alignment horizontal="center" vertical="center"/>
    </xf>
    <xf borderId="7" fillId="5" fontId="7" numFmtId="0" xfId="0" applyBorder="1" applyFont="1"/>
    <xf borderId="4" fillId="5" fontId="12" numFmtId="168" xfId="0" applyAlignment="1" applyBorder="1" applyFont="1" applyNumberFormat="1">
      <alignment horizontal="center" vertical="center"/>
    </xf>
    <xf borderId="4" fillId="5" fontId="13" numFmtId="168" xfId="0" applyAlignment="1" applyBorder="1" applyFont="1" applyNumberFormat="1">
      <alignment horizontal="center" vertical="center"/>
    </xf>
    <xf borderId="0" fillId="0" fontId="3" numFmtId="0" xfId="0" applyAlignment="1" applyFont="1">
      <alignment vertical="center"/>
    </xf>
    <xf borderId="0" fillId="0" fontId="14" numFmtId="39" xfId="0" applyAlignment="1" applyFont="1" applyNumberFormat="1">
      <alignment horizontal="right"/>
    </xf>
    <xf borderId="0" fillId="0" fontId="4" numFmtId="167" xfId="0" applyAlignment="1" applyFont="1" applyNumberFormat="1">
      <alignment horizontal="center" vertical="center"/>
    </xf>
    <xf borderId="7" fillId="5" fontId="6" numFmtId="0" xfId="0" applyAlignment="1" applyBorder="1" applyFont="1">
      <alignment vertical="center"/>
    </xf>
    <xf borderId="7" fillId="5" fontId="3" numFmtId="0" xfId="0" applyAlignment="1" applyBorder="1" applyFont="1">
      <alignment horizontal="center" vertical="center"/>
    </xf>
    <xf borderId="7" fillId="5" fontId="12" numFmtId="168" xfId="0" applyAlignment="1" applyBorder="1" applyFont="1" applyNumberFormat="1">
      <alignment horizontal="center" vertical="center"/>
    </xf>
    <xf borderId="7" fillId="5" fontId="13" numFmtId="168" xfId="0" applyAlignment="1" applyBorder="1" applyFont="1" applyNumberFormat="1">
      <alignment horizontal="center" vertical="center"/>
    </xf>
    <xf borderId="0" fillId="0" fontId="7" numFmtId="39" xfId="0" applyAlignment="1" applyFont="1" applyNumberFormat="1">
      <alignment horizontal="center" vertical="center"/>
    </xf>
    <xf borderId="0" fillId="0" fontId="7" numFmtId="39" xfId="0" applyAlignment="1" applyFont="1" applyNumberFormat="1">
      <alignment horizontal="right"/>
    </xf>
    <xf borderId="5" fillId="0" fontId="4" numFmtId="169" xfId="0" applyAlignment="1" applyBorder="1" applyFont="1" applyNumberFormat="1">
      <alignment horizontal="center" vertical="center"/>
    </xf>
    <xf borderId="6" fillId="0" fontId="7" numFmtId="0" xfId="0" applyBorder="1" applyFont="1"/>
    <xf borderId="5" fillId="0" fontId="15" numFmtId="167" xfId="0" applyAlignment="1" applyBorder="1" applyFont="1" applyNumberFormat="1">
      <alignment horizontal="center" vertical="center"/>
    </xf>
    <xf borderId="8" fillId="3" fontId="3" numFmtId="0" xfId="0" applyAlignment="1" applyBorder="1" applyFont="1">
      <alignment horizontal="left" vertical="center"/>
    </xf>
    <xf borderId="9" fillId="3" fontId="3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center"/>
    </xf>
    <xf borderId="8" fillId="3" fontId="4" numFmtId="0" xfId="0" applyAlignment="1" applyBorder="1" applyFont="1">
      <alignment horizontal="left" vertical="center"/>
    </xf>
    <xf borderId="9" fillId="3" fontId="4" numFmtId="0" xfId="0" applyAlignment="1" applyBorder="1" applyFont="1">
      <alignment horizontal="center" vertical="center"/>
    </xf>
    <xf borderId="10" fillId="3" fontId="4" numFmtId="0" xfId="0" applyAlignment="1" applyBorder="1" applyFont="1">
      <alignment horizontal="center" vertical="center"/>
    </xf>
    <xf borderId="8" fillId="6" fontId="16" numFmtId="0" xfId="0" applyAlignment="1" applyBorder="1" applyFill="1" applyFont="1">
      <alignment horizontal="left" vertical="center"/>
    </xf>
    <xf borderId="10" fillId="6" fontId="3" numFmtId="0" xfId="0" applyAlignment="1" applyBorder="1" applyFont="1">
      <alignment horizontal="center" vertical="center"/>
    </xf>
    <xf borderId="0" fillId="0" fontId="17" numFmtId="169" xfId="0" applyAlignment="1" applyFont="1" applyNumberFormat="1">
      <alignment horizontal="center" vertical="center"/>
    </xf>
    <xf borderId="8" fillId="6" fontId="4" numFmtId="0" xfId="0" applyAlignment="1" applyBorder="1" applyFont="1">
      <alignment horizontal="left" vertical="center"/>
    </xf>
    <xf borderId="9" fillId="6" fontId="4" numFmtId="0" xfId="0" applyAlignment="1" applyBorder="1" applyFont="1">
      <alignment horizontal="center" vertical="center"/>
    </xf>
    <xf borderId="10" fillId="6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12" numFmtId="170" xfId="0" applyAlignment="1" applyFont="1" applyNumberFormat="1">
      <alignment horizontal="center" vertical="center"/>
    </xf>
    <xf borderId="0" fillId="0" fontId="4" numFmtId="0" xfId="0" applyAlignment="1" applyFont="1">
      <alignment horizontal="left" vertical="center"/>
    </xf>
    <xf borderId="0" fillId="0" fontId="18" numFmtId="0" xfId="0" applyAlignment="1" applyFont="1">
      <alignment horizontal="center" vertical="center"/>
    </xf>
    <xf borderId="1" fillId="2" fontId="3" numFmtId="0" xfId="0" applyAlignment="1" applyBorder="1" applyFont="1">
      <alignment horizontal="left" vertical="center"/>
    </xf>
    <xf borderId="2" fillId="2" fontId="3" numFmtId="0" xfId="0" applyAlignment="1" applyBorder="1" applyFont="1">
      <alignment horizontal="left" vertical="center"/>
    </xf>
    <xf borderId="0" fillId="0" fontId="17" numFmtId="170" xfId="0" applyAlignment="1" applyFont="1" applyNumberFormat="1">
      <alignment horizontal="center" vertical="center"/>
    </xf>
    <xf borderId="11" fillId="2" fontId="3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2" fontId="3" numFmtId="171" xfId="0" applyAlignment="1" applyBorder="1" applyFont="1" applyNumberFormat="1">
      <alignment horizontal="center" vertical="center"/>
    </xf>
    <xf quotePrefix="1" borderId="0" fillId="0" fontId="4" numFmtId="0" xfId="0" applyAlignment="1" applyFont="1">
      <alignment horizontal="left" vertical="center"/>
    </xf>
    <xf borderId="0" fillId="0" fontId="7" numFmtId="39" xfId="0" applyFont="1" applyNumberFormat="1"/>
    <xf borderId="4" fillId="7" fontId="4" numFmtId="0" xfId="0" applyAlignment="1" applyBorder="1" applyFill="1" applyFont="1">
      <alignment horizontal="center" vertical="center"/>
    </xf>
    <xf borderId="4" fillId="7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left" vertical="center"/>
    </xf>
    <xf borderId="12" fillId="0" fontId="3" numFmtId="0" xfId="0" applyAlignment="1" applyBorder="1" applyFont="1">
      <alignment horizontal="left" vertical="center"/>
    </xf>
    <xf borderId="12" fillId="0" fontId="3" numFmtId="0" xfId="0" applyAlignment="1" applyBorder="1" applyFont="1">
      <alignment horizontal="center" vertical="center"/>
    </xf>
    <xf borderId="13" fillId="7" fontId="3" numFmtId="167" xfId="0" applyAlignment="1" applyBorder="1" applyFont="1" applyNumberFormat="1">
      <alignment horizontal="center" vertical="center"/>
    </xf>
    <xf borderId="0" fillId="0" fontId="19" numFmtId="10" xfId="0" applyAlignment="1" applyFont="1" applyNumberFormat="1">
      <alignment horizontal="center" vertical="center"/>
    </xf>
    <xf borderId="4" fillId="7" fontId="4" numFmtId="167" xfId="0" applyAlignment="1" applyBorder="1" applyFont="1" applyNumberFormat="1">
      <alignment horizontal="center" vertical="center"/>
    </xf>
    <xf borderId="4" fillId="7" fontId="20" numFmtId="167" xfId="0" applyAlignment="1" applyBorder="1" applyFont="1" applyNumberFormat="1">
      <alignment horizontal="center" vertical="center"/>
    </xf>
    <xf borderId="0" fillId="0" fontId="21" numFmtId="10" xfId="0" applyAlignment="1" applyFont="1" applyNumberFormat="1">
      <alignment horizontal="center" vertical="center"/>
    </xf>
    <xf borderId="0" fillId="0" fontId="22" numFmtId="10" xfId="0" applyAlignment="1" applyFont="1" applyNumberFormat="1">
      <alignment horizontal="center" vertical="center"/>
    </xf>
    <xf borderId="0" fillId="0" fontId="19" numFmtId="170" xfId="0" applyAlignment="1" applyFont="1" applyNumberFormat="1">
      <alignment horizontal="center" vertical="center"/>
    </xf>
    <xf borderId="14" fillId="0" fontId="3" numFmtId="0" xfId="0" applyAlignment="1" applyBorder="1" applyFont="1">
      <alignment horizontal="left" vertical="center"/>
    </xf>
    <xf borderId="14" fillId="0" fontId="3" numFmtId="0" xfId="0" applyAlignment="1" applyBorder="1" applyFont="1">
      <alignment horizontal="center" vertical="center"/>
    </xf>
    <xf borderId="15" fillId="7" fontId="3" numFmtId="167" xfId="0" applyAlignment="1" applyBorder="1" applyFont="1" applyNumberFormat="1">
      <alignment horizontal="center" vertical="center"/>
    </xf>
    <xf borderId="0" fillId="0" fontId="23" numFmtId="170" xfId="0" applyAlignment="1" applyFont="1" applyNumberFormat="1">
      <alignment horizontal="center" vertical="center"/>
    </xf>
    <xf borderId="0" fillId="0" fontId="24" numFmtId="0" xfId="0" applyAlignment="1" applyFont="1">
      <alignment horizontal="left" vertical="center"/>
    </xf>
    <xf borderId="0" fillId="0" fontId="24" numFmtId="0" xfId="0" applyAlignment="1" applyFont="1">
      <alignment horizontal="center" vertical="center"/>
    </xf>
    <xf borderId="4" fillId="7" fontId="24" numFmtId="172" xfId="0" applyAlignment="1" applyBorder="1" applyFont="1" applyNumberFormat="1">
      <alignment horizontal="center" vertical="center"/>
    </xf>
    <xf borderId="0" fillId="0" fontId="22" numFmtId="170" xfId="0" applyAlignment="1" applyFont="1" applyNumberFormat="1">
      <alignment horizontal="center" vertical="center"/>
    </xf>
    <xf borderId="0" fillId="0" fontId="22" numFmtId="173" xfId="0" applyAlignment="1" applyFont="1" applyNumberFormat="1">
      <alignment horizontal="center" vertical="center"/>
    </xf>
    <xf borderId="0" fillId="0" fontId="14" numFmtId="39" xfId="0" applyFont="1" applyNumberFormat="1"/>
    <xf borderId="0" fillId="0" fontId="22" numFmtId="2" xfId="0" applyAlignment="1" applyFont="1" applyNumberFormat="1">
      <alignment horizontal="center" vertical="center"/>
    </xf>
    <xf borderId="0" fillId="0" fontId="8" numFmtId="169" xfId="0" applyAlignment="1" applyFont="1" applyNumberFormat="1">
      <alignment horizontal="center" vertical="center"/>
    </xf>
    <xf borderId="14" fillId="0" fontId="8" numFmtId="170" xfId="0" applyAlignment="1" applyBorder="1" applyFont="1" applyNumberForma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10" xfId="0" applyAlignment="1" applyFont="1" applyNumberFormat="1">
      <alignment horizontal="center" vertical="center"/>
    </xf>
    <xf borderId="13" fillId="8" fontId="3" numFmtId="0" xfId="0" applyAlignment="1" applyBorder="1" applyFill="1" applyFont="1">
      <alignment horizontal="left" vertical="center"/>
    </xf>
    <xf borderId="11" fillId="9" fontId="24" numFmtId="174" xfId="0" applyAlignment="1" applyBorder="1" applyFill="1" applyFont="1" applyNumberFormat="1">
      <alignment horizontal="center" vertical="center"/>
    </xf>
    <xf borderId="11" fillId="9" fontId="24" numFmtId="172" xfId="0" applyAlignment="1" applyBorder="1" applyFont="1" applyNumberFormat="1">
      <alignment horizontal="center" vertical="center"/>
    </xf>
    <xf borderId="13" fillId="8" fontId="4" numFmtId="0" xfId="0" applyAlignment="1" applyBorder="1" applyFont="1">
      <alignment horizontal="center" vertical="center"/>
    </xf>
    <xf borderId="13" fillId="8" fontId="3" numFmtId="167" xfId="0" applyAlignment="1" applyBorder="1" applyFont="1" applyNumberFormat="1">
      <alignment horizontal="center" vertical="center"/>
    </xf>
    <xf borderId="11" fillId="8" fontId="3" numFmtId="0" xfId="0" applyAlignment="1" applyBorder="1" applyFont="1">
      <alignment horizontal="left" vertical="center"/>
    </xf>
    <xf borderId="11" fillId="8" fontId="4" numFmtId="0" xfId="0" applyAlignment="1" applyBorder="1" applyFont="1">
      <alignment horizontal="center" vertical="center"/>
    </xf>
    <xf borderId="11" fillId="8" fontId="4" numFmtId="167" xfId="0" applyAlignment="1" applyBorder="1" applyFont="1" applyNumberFormat="1">
      <alignment horizontal="center" vertical="center"/>
    </xf>
    <xf borderId="11" fillId="8" fontId="3" numFmtId="167" xfId="0" applyAlignment="1" applyBorder="1" applyFont="1" applyNumberFormat="1">
      <alignment horizontal="center" vertical="center"/>
    </xf>
    <xf borderId="11" fillId="0" fontId="3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center" vertical="center"/>
    </xf>
    <xf borderId="11" fillId="0" fontId="3" numFmtId="167" xfId="0" applyAlignment="1" applyBorder="1" applyFont="1" applyNumberFormat="1">
      <alignment horizontal="center" vertical="center"/>
    </xf>
    <xf borderId="0" fillId="0" fontId="25" numFmtId="167" xfId="0" applyAlignment="1" applyFont="1" applyNumberFormat="1">
      <alignment horizontal="center" vertical="center"/>
    </xf>
    <xf borderId="0" fillId="0" fontId="4" numFmtId="10" xfId="0" applyAlignment="1" applyFont="1" applyNumberFormat="1">
      <alignment horizontal="center" vertical="center"/>
    </xf>
    <xf borderId="16" fillId="0" fontId="3" numFmtId="0" xfId="0" applyAlignment="1" applyBorder="1" applyFont="1">
      <alignment horizontal="left" vertical="center"/>
    </xf>
    <xf borderId="17" fillId="0" fontId="8" numFmtId="10" xfId="0" applyAlignment="1" applyBorder="1" applyFont="1" applyNumberFormat="1">
      <alignment horizontal="center" vertical="center"/>
    </xf>
    <xf borderId="18" fillId="0" fontId="4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19" fillId="0" fontId="16" numFmtId="0" xfId="0" applyAlignment="1" applyBorder="1" applyFont="1">
      <alignment horizontal="left" vertical="center"/>
    </xf>
    <xf borderId="19" fillId="0" fontId="16" numFmtId="0" xfId="0" applyAlignment="1" applyBorder="1" applyFont="1">
      <alignment horizontal="center" vertical="center"/>
    </xf>
    <xf borderId="4" fillId="6" fontId="3" numFmtId="0" xfId="0" applyAlignment="1" applyBorder="1" applyFont="1">
      <alignment horizontal="left" vertical="center"/>
    </xf>
    <xf borderId="4" fillId="6" fontId="3" numFmtId="0" xfId="0" applyAlignment="1" applyBorder="1" applyFont="1">
      <alignment horizontal="center" vertical="center"/>
    </xf>
    <xf borderId="0" fillId="0" fontId="4" numFmtId="175" xfId="0" applyAlignment="1" applyFont="1" applyNumberFormat="1">
      <alignment horizontal="center" vertical="center"/>
    </xf>
    <xf borderId="0" fillId="0" fontId="4" numFmtId="176" xfId="0" applyAlignment="1" applyFont="1" applyNumberFormat="1">
      <alignment horizontal="center" vertical="center"/>
    </xf>
    <xf borderId="0" fillId="0" fontId="15" numFmtId="169" xfId="0" applyAlignment="1" applyFont="1" applyNumberFormat="1">
      <alignment horizontal="center" vertical="center"/>
    </xf>
    <xf borderId="17" fillId="0" fontId="3" numFmtId="169" xfId="0" applyAlignment="1" applyBorder="1" applyFont="1" applyNumberFormat="1">
      <alignment horizontal="center" vertical="center"/>
    </xf>
    <xf borderId="4" fillId="10" fontId="4" numFmtId="175" xfId="0" applyAlignment="1" applyBorder="1" applyFill="1" applyFont="1" applyNumberFormat="1">
      <alignment horizontal="center" vertical="center"/>
    </xf>
    <xf borderId="0" fillId="0" fontId="4" numFmtId="170" xfId="0" applyAlignment="1" applyFont="1" applyNumberForma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0" fillId="0" fontId="24" numFmtId="9" xfId="0" applyAlignment="1" applyFont="1" applyNumberForma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0" fillId="0" fontId="24" numFmtId="170" xfId="0" applyAlignment="1" applyFont="1" applyNumberFormat="1">
      <alignment horizontal="center" vertical="center"/>
    </xf>
    <xf borderId="0" fillId="0" fontId="4" numFmtId="169" xfId="0" applyAlignment="1" applyFont="1" applyNumberFormat="1">
      <alignment horizontal="center" vertical="center"/>
    </xf>
    <xf borderId="0" fillId="0" fontId="7" numFmtId="0" xfId="0" applyFont="1"/>
    <xf borderId="6" fillId="0" fontId="7" numFmtId="0" xfId="0" applyBorder="1" applyFont="1"/>
    <xf borderId="1" fillId="2" fontId="26" numFmtId="0" xfId="0" applyAlignment="1" applyBorder="1" applyFont="1">
      <alignment horizontal="left"/>
    </xf>
    <xf borderId="11" fillId="2" fontId="3" numFmtId="0" xfId="0" applyAlignment="1" applyBorder="1" applyFont="1">
      <alignment vertical="center"/>
    </xf>
    <xf borderId="20" fillId="11" fontId="7" numFmtId="0" xfId="0" applyBorder="1" applyFill="1" applyFont="1"/>
    <xf borderId="2" fillId="2" fontId="27" numFmtId="164" xfId="0" applyAlignment="1" applyBorder="1" applyFont="1" applyNumberFormat="1">
      <alignment horizontal="center"/>
    </xf>
    <xf borderId="3" fillId="3" fontId="27" numFmtId="164" xfId="0" applyAlignment="1" applyBorder="1" applyFont="1" applyNumberFormat="1">
      <alignment horizontal="center"/>
    </xf>
    <xf borderId="3" fillId="3" fontId="27" numFmtId="165" xfId="0" applyAlignment="1" applyBorder="1" applyFont="1" applyNumberFormat="1">
      <alignment horizontal="center"/>
    </xf>
    <xf borderId="1" fillId="3" fontId="27" numFmtId="165" xfId="0" applyAlignment="1" applyBorder="1" applyFont="1" applyNumberFormat="1">
      <alignment horizontal="center"/>
    </xf>
    <xf borderId="0" fillId="0" fontId="3" numFmtId="165" xfId="0" applyAlignment="1" applyFont="1" applyNumberFormat="1">
      <alignment horizontal="center" vertical="center"/>
    </xf>
    <xf borderId="0" fillId="0" fontId="22" numFmtId="0" xfId="0" applyAlignment="1" applyFont="1">
      <alignment horizontal="center"/>
    </xf>
    <xf borderId="4" fillId="4" fontId="7" numFmtId="0" xfId="0" applyBorder="1" applyFont="1"/>
    <xf borderId="4" fillId="4" fontId="19" numFmtId="39" xfId="0" applyAlignment="1" applyBorder="1" applyFont="1" applyNumberFormat="1">
      <alignment horizontal="center"/>
    </xf>
    <xf borderId="4" fillId="4" fontId="28" numFmtId="39" xfId="0" applyAlignment="1" applyBorder="1" applyFont="1" applyNumberFormat="1">
      <alignment horizontal="center"/>
    </xf>
    <xf borderId="4" fillId="4" fontId="29" numFmtId="167" xfId="0" applyAlignment="1" applyBorder="1" applyFont="1" applyNumberFormat="1">
      <alignment horizontal="center"/>
    </xf>
    <xf borderId="0" fillId="0" fontId="8" numFmtId="167" xfId="0" applyAlignment="1" applyFont="1" applyNumberFormat="1">
      <alignment horizontal="center" vertical="center"/>
    </xf>
    <xf borderId="0" fillId="0" fontId="30" numFmtId="168" xfId="0" applyAlignment="1" applyFont="1" applyNumberFormat="1">
      <alignment horizontal="center"/>
    </xf>
    <xf borderId="0" fillId="0" fontId="31" numFmtId="168" xfId="0" applyAlignment="1" applyFont="1" applyNumberFormat="1">
      <alignment horizontal="center"/>
    </xf>
    <xf borderId="0" fillId="0" fontId="22" numFmtId="0" xfId="0" applyFont="1"/>
    <xf borderId="0" fillId="0" fontId="32" numFmtId="0" xfId="0" applyAlignment="1" applyFont="1">
      <alignment horizontal="center"/>
    </xf>
    <xf borderId="0" fillId="0" fontId="19" numFmtId="39" xfId="0" applyAlignment="1" applyFont="1" applyNumberFormat="1">
      <alignment horizontal="center"/>
    </xf>
    <xf borderId="5" fillId="0" fontId="22" numFmtId="167" xfId="0" applyAlignment="1" applyBorder="1" applyFont="1" applyNumberFormat="1">
      <alignment horizontal="center"/>
    </xf>
    <xf borderId="0" fillId="0" fontId="27" numFmtId="0" xfId="0" applyFont="1"/>
    <xf borderId="15" fillId="5" fontId="7" numFmtId="0" xfId="0" applyBorder="1" applyFont="1"/>
    <xf borderId="21" fillId="5" fontId="33" numFmtId="168" xfId="0" applyAlignment="1" applyBorder="1" applyFont="1" applyNumberFormat="1">
      <alignment horizontal="center"/>
    </xf>
    <xf borderId="0" fillId="0" fontId="12" numFmtId="168" xfId="0" applyAlignment="1" applyFont="1" applyNumberFormat="1">
      <alignment horizontal="center" vertical="center"/>
    </xf>
    <xf borderId="15" fillId="5" fontId="33" numFmtId="168" xfId="0" applyAlignment="1" applyBorder="1" applyFont="1" applyNumberFormat="1">
      <alignment horizontal="center"/>
    </xf>
    <xf borderId="4" fillId="5" fontId="34" numFmtId="168" xfId="0" applyAlignment="1" applyBorder="1" applyFont="1" applyNumberFormat="1">
      <alignment horizontal="center"/>
    </xf>
    <xf borderId="0" fillId="0" fontId="13" numFmtId="168" xfId="0" applyAlignment="1" applyFont="1" applyNumberFormat="1">
      <alignment horizontal="center" vertical="center"/>
    </xf>
    <xf borderId="5" fillId="0" fontId="22" numFmtId="39" xfId="0" applyAlignment="1" applyBorder="1" applyFont="1" applyNumberFormat="1">
      <alignment horizontal="center"/>
    </xf>
    <xf borderId="4" fillId="5" fontId="33" numFmtId="168" xfId="0" applyAlignment="1" applyBorder="1" applyFont="1" applyNumberFormat="1">
      <alignment horizontal="center"/>
    </xf>
    <xf borderId="5" fillId="0" fontId="21" numFmtId="167" xfId="0" applyAlignment="1" applyBorder="1" applyFont="1" applyNumberFormat="1">
      <alignment horizontal="center"/>
    </xf>
    <xf borderId="0" fillId="0" fontId="35" numFmtId="0" xfId="0" applyFont="1"/>
    <xf borderId="8" fillId="3" fontId="27" numFmtId="0" xfId="0" applyAlignment="1" applyBorder="1" applyFont="1">
      <alignment horizontal="left" vertical="center"/>
    </xf>
    <xf borderId="9" fillId="3" fontId="27" numFmtId="0" xfId="0" applyAlignment="1" applyBorder="1" applyFont="1">
      <alignment horizontal="center" vertical="center"/>
    </xf>
    <xf borderId="0" fillId="0" fontId="29" numFmtId="0" xfId="0" applyAlignment="1" applyFont="1">
      <alignment horizontal="left" vertical="center"/>
    </xf>
    <xf borderId="8" fillId="6" fontId="36" numFmtId="0" xfId="0" applyAlignment="1" applyBorder="1" applyFont="1">
      <alignment horizontal="left" vertical="center"/>
    </xf>
    <xf borderId="10" fillId="6" fontId="27" numFmtId="0" xfId="0" applyAlignment="1" applyBorder="1" applyFont="1">
      <alignment horizontal="center" vertical="center"/>
    </xf>
    <xf borderId="0" fillId="0" fontId="37" numFmtId="169" xfId="0" applyAlignment="1" applyFont="1" applyNumberFormat="1">
      <alignment horizontal="center" vertical="center"/>
    </xf>
    <xf borderId="0" fillId="0" fontId="27" numFmtId="0" xfId="0" applyAlignment="1" applyFont="1">
      <alignment horizontal="left" vertical="center"/>
    </xf>
    <xf borderId="0" fillId="0" fontId="27" numFmtId="0" xfId="0" applyAlignment="1" applyFont="1">
      <alignment horizontal="center" vertical="center"/>
    </xf>
    <xf borderId="0" fillId="0" fontId="33" numFmtId="170" xfId="0" applyAlignment="1" applyFont="1" applyNumberFormat="1">
      <alignment horizontal="center" vertical="center"/>
    </xf>
    <xf borderId="0" fillId="0" fontId="22" numFmtId="0" xfId="0" applyAlignment="1" applyFont="1">
      <alignment horizontal="left" vertical="center"/>
    </xf>
    <xf borderId="0" fillId="0" fontId="22" numFmtId="0" xfId="0" applyAlignment="1" applyFont="1">
      <alignment horizontal="center" vertical="center"/>
    </xf>
    <xf borderId="1" fillId="2" fontId="27" numFmtId="0" xfId="0" applyAlignment="1" applyBorder="1" applyFont="1">
      <alignment horizontal="left" vertical="center"/>
    </xf>
    <xf borderId="2" fillId="2" fontId="27" numFmtId="0" xfId="0" applyAlignment="1" applyBorder="1" applyFont="1">
      <alignment horizontal="left" vertical="center"/>
    </xf>
    <xf borderId="0" fillId="0" fontId="37" numFmtId="170" xfId="0" applyAlignment="1" applyFont="1" applyNumberFormat="1">
      <alignment horizontal="center" vertical="center"/>
    </xf>
    <xf borderId="11" fillId="2" fontId="27" numFmtId="0" xfId="0" applyAlignment="1" applyBorder="1" applyFont="1">
      <alignment horizontal="center" vertical="center"/>
    </xf>
    <xf borderId="2" fillId="2" fontId="27" numFmtId="0" xfId="0" applyAlignment="1" applyBorder="1" applyFont="1">
      <alignment horizontal="center" vertical="center"/>
    </xf>
    <xf borderId="3" fillId="2" fontId="27" numFmtId="164" xfId="0" applyAlignment="1" applyBorder="1" applyFont="1" applyNumberFormat="1">
      <alignment horizontal="center" vertical="center"/>
    </xf>
    <xf borderId="3" fillId="3" fontId="27" numFmtId="165" xfId="0" applyAlignment="1" applyBorder="1" applyFont="1" applyNumberFormat="1">
      <alignment horizontal="center" vertical="center"/>
    </xf>
    <xf borderId="3" fillId="2" fontId="27" numFmtId="171" xfId="0" applyAlignment="1" applyBorder="1" applyFont="1" applyNumberFormat="1">
      <alignment horizontal="center" vertical="center"/>
    </xf>
    <xf quotePrefix="1" borderId="0" fillId="0" fontId="22" numFmtId="0" xfId="0" applyAlignment="1" applyFont="1">
      <alignment horizontal="left" vertical="center"/>
    </xf>
    <xf borderId="0" fillId="0" fontId="22" numFmtId="39" xfId="0" applyFont="1" applyNumberFormat="1"/>
    <xf borderId="4" fillId="7" fontId="22" numFmtId="0" xfId="0" applyAlignment="1" applyBorder="1" applyFont="1">
      <alignment horizontal="center" vertical="center"/>
    </xf>
    <xf borderId="0" fillId="0" fontId="19" numFmtId="39" xfId="0" applyAlignment="1" applyFont="1" applyNumberFormat="1">
      <alignment horizontal="right"/>
    </xf>
    <xf borderId="4" fillId="7" fontId="32" numFmtId="0" xfId="0" applyAlignment="1" applyBorder="1" applyFont="1">
      <alignment horizontal="center" vertical="center"/>
    </xf>
    <xf borderId="0" fillId="0" fontId="32" numFmtId="0" xfId="0" applyAlignment="1" applyFont="1">
      <alignment horizontal="left" vertical="center"/>
    </xf>
    <xf borderId="0" fillId="0" fontId="32" numFmtId="0" xfId="0" applyAlignment="1" applyFont="1">
      <alignment horizontal="center" vertical="center"/>
    </xf>
    <xf borderId="12" fillId="0" fontId="27" numFmtId="0" xfId="0" applyAlignment="1" applyBorder="1" applyFont="1">
      <alignment horizontal="left" vertical="center"/>
    </xf>
    <xf borderId="12" fillId="0" fontId="27" numFmtId="0" xfId="0" applyAlignment="1" applyBorder="1" applyFont="1">
      <alignment horizontal="center" vertical="center"/>
    </xf>
    <xf borderId="13" fillId="7" fontId="27" numFmtId="167" xfId="0" applyAlignment="1" applyBorder="1" applyFont="1" applyNumberFormat="1">
      <alignment horizontal="center" vertical="center"/>
    </xf>
    <xf borderId="4" fillId="7" fontId="22" numFmtId="167" xfId="0" applyAlignment="1" applyBorder="1" applyFont="1" applyNumberFormat="1">
      <alignment horizontal="center" vertical="center"/>
    </xf>
    <xf borderId="4" fillId="7" fontId="38" numFmtId="167" xfId="0" applyAlignment="1" applyBorder="1" applyFont="1" applyNumberFormat="1">
      <alignment horizontal="center" vertical="center"/>
    </xf>
    <xf borderId="0" fillId="0" fontId="22" numFmtId="167" xfId="0" applyAlignment="1" applyFont="1" applyNumberFormat="1">
      <alignment horizontal="center" vertical="center"/>
    </xf>
    <xf borderId="14" fillId="0" fontId="27" numFmtId="0" xfId="0" applyAlignment="1" applyBorder="1" applyFont="1">
      <alignment horizontal="left" vertical="center"/>
    </xf>
    <xf borderId="14" fillId="0" fontId="27" numFmtId="0" xfId="0" applyAlignment="1" applyBorder="1" applyFont="1">
      <alignment horizontal="center" vertical="center"/>
    </xf>
    <xf borderId="15" fillId="7" fontId="27" numFmtId="167" xfId="0" applyAlignment="1" applyBorder="1" applyFont="1" applyNumberFormat="1">
      <alignment horizontal="center" vertical="center"/>
    </xf>
    <xf borderId="0" fillId="0" fontId="23" numFmtId="0" xfId="0" applyAlignment="1" applyFont="1">
      <alignment horizontal="left" vertical="center"/>
    </xf>
    <xf borderId="0" fillId="0" fontId="23" numFmtId="0" xfId="0" applyAlignment="1" applyFont="1">
      <alignment horizontal="center" vertical="center"/>
    </xf>
    <xf borderId="4" fillId="7" fontId="23" numFmtId="172" xfId="0" applyAlignment="1" applyBorder="1" applyFont="1" applyNumberFormat="1">
      <alignment horizontal="center" vertical="center"/>
    </xf>
    <xf borderId="0" fillId="0" fontId="22" numFmtId="39" xfId="0" applyAlignment="1" applyFont="1" applyNumberFormat="1">
      <alignment horizontal="right"/>
    </xf>
    <xf borderId="0" fillId="0" fontId="19" numFmtId="39" xfId="0" applyFont="1" applyNumberFormat="1"/>
    <xf borderId="0" fillId="0" fontId="29" numFmtId="169" xfId="0" applyAlignment="1" applyFont="1" applyNumberFormat="1">
      <alignment horizontal="center" vertical="center"/>
    </xf>
    <xf borderId="15" fillId="12" fontId="27" numFmtId="0" xfId="0" applyAlignment="1" applyBorder="1" applyFill="1" applyFont="1">
      <alignment horizontal="left" vertical="center"/>
    </xf>
    <xf borderId="15" fillId="12" fontId="29" numFmtId="170" xfId="0" applyAlignment="1" applyBorder="1" applyFont="1" applyNumberFormat="1">
      <alignment horizontal="center" vertical="center"/>
    </xf>
    <xf borderId="13" fillId="8" fontId="27" numFmtId="0" xfId="0" applyAlignment="1" applyBorder="1" applyFont="1">
      <alignment horizontal="left" vertical="center"/>
    </xf>
    <xf borderId="11" fillId="9" fontId="23" numFmtId="174" xfId="0" applyAlignment="1" applyBorder="1" applyFont="1" applyNumberFormat="1">
      <alignment horizontal="center" vertical="center"/>
    </xf>
    <xf borderId="11" fillId="9" fontId="23" numFmtId="172" xfId="0" applyAlignment="1" applyBorder="1" applyFont="1" applyNumberFormat="1">
      <alignment horizontal="center" vertical="center"/>
    </xf>
    <xf borderId="13" fillId="8" fontId="22" numFmtId="0" xfId="0" applyAlignment="1" applyBorder="1" applyFont="1">
      <alignment horizontal="center" vertical="center"/>
    </xf>
    <xf borderId="13" fillId="8" fontId="27" numFmtId="167" xfId="0" applyAlignment="1" applyBorder="1" applyFont="1" applyNumberFormat="1">
      <alignment horizontal="center" vertical="center"/>
    </xf>
    <xf borderId="4" fillId="6" fontId="27" numFmtId="0" xfId="0" applyAlignment="1" applyBorder="1" applyFont="1">
      <alignment horizontal="left" vertical="center"/>
    </xf>
    <xf borderId="4" fillId="6" fontId="27" numFmtId="10" xfId="0" applyAlignment="1" applyBorder="1" applyFont="1" applyNumberFormat="1">
      <alignment horizontal="center" vertical="center"/>
    </xf>
    <xf borderId="11" fillId="8" fontId="27" numFmtId="0" xfId="0" applyAlignment="1" applyBorder="1" applyFont="1">
      <alignment horizontal="left" vertical="center"/>
    </xf>
    <xf borderId="11" fillId="8" fontId="22" numFmtId="0" xfId="0" applyAlignment="1" applyBorder="1" applyFont="1">
      <alignment horizontal="center" vertical="center"/>
    </xf>
    <xf borderId="11" fillId="8" fontId="22" numFmtId="167" xfId="0" applyAlignment="1" applyBorder="1" applyFont="1" applyNumberFormat="1">
      <alignment horizontal="center" vertical="center"/>
    </xf>
    <xf borderId="11" fillId="8" fontId="27" numFmtId="167" xfId="0" applyAlignment="1" applyBorder="1" applyFont="1" applyNumberFormat="1">
      <alignment horizontal="center" vertical="center"/>
    </xf>
    <xf borderId="11" fillId="0" fontId="27" numFmtId="0" xfId="0" applyAlignment="1" applyBorder="1" applyFont="1">
      <alignment horizontal="left" vertical="center"/>
    </xf>
    <xf borderId="11" fillId="0" fontId="22" numFmtId="0" xfId="0" applyAlignment="1" applyBorder="1" applyFont="1">
      <alignment horizontal="center" vertical="center"/>
    </xf>
    <xf borderId="11" fillId="0" fontId="27" numFmtId="167" xfId="0" applyAlignment="1" applyBorder="1" applyFont="1" applyNumberFormat="1">
      <alignment horizontal="center" vertical="center"/>
    </xf>
    <xf borderId="0" fillId="0" fontId="39" numFmtId="167" xfId="0" applyAlignment="1" applyFont="1" applyNumberFormat="1">
      <alignment horizontal="center" vertical="center"/>
    </xf>
    <xf borderId="14" fillId="0" fontId="22" numFmtId="0" xfId="0" applyAlignment="1" applyBorder="1" applyFont="1">
      <alignment horizontal="left" vertical="center"/>
    </xf>
    <xf borderId="14" fillId="0" fontId="29" numFmtId="10" xfId="0" applyAlignment="1" applyBorder="1" applyFont="1" applyNumberFormat="1">
      <alignment horizontal="center" vertical="center"/>
    </xf>
    <xf borderId="18" fillId="0" fontId="22" numFmtId="0" xfId="0" applyAlignment="1" applyBorder="1" applyFont="1">
      <alignment horizontal="center" vertical="center"/>
    </xf>
    <xf borderId="0" fillId="0" fontId="22" numFmtId="0" xfId="0" applyAlignment="1" applyFont="1">
      <alignment vertical="center"/>
    </xf>
    <xf borderId="16" fillId="0" fontId="27" numFmtId="0" xfId="0" applyAlignment="1" applyBorder="1" applyFont="1">
      <alignment horizontal="left" vertical="center"/>
    </xf>
    <xf borderId="17" fillId="0" fontId="29" numFmtId="10" xfId="0" applyAlignment="1" applyBorder="1" applyFont="1" applyNumberFormat="1">
      <alignment horizontal="center" vertical="center"/>
    </xf>
    <xf borderId="19" fillId="0" fontId="36" numFmtId="0" xfId="0" applyAlignment="1" applyBorder="1" applyFont="1">
      <alignment horizontal="left" vertical="center"/>
    </xf>
    <xf borderId="19" fillId="0" fontId="36" numFmtId="0" xfId="0" applyAlignment="1" applyBorder="1" applyFont="1">
      <alignment horizontal="center" vertical="center"/>
    </xf>
    <xf borderId="4" fillId="6" fontId="27" numFmtId="0" xfId="0" applyAlignment="1" applyBorder="1" applyFont="1">
      <alignment horizontal="center" vertical="center"/>
    </xf>
    <xf borderId="0" fillId="0" fontId="22" numFmtId="175" xfId="0" applyAlignment="1" applyFont="1" applyNumberFormat="1">
      <alignment horizontal="center" vertical="center"/>
    </xf>
    <xf borderId="0" fillId="0" fontId="27" numFmtId="0" xfId="0" applyAlignment="1" applyFont="1">
      <alignment horizontal="left" vertical="center"/>
    </xf>
    <xf borderId="0" fillId="0" fontId="22" numFmtId="176" xfId="0" applyAlignment="1" applyFont="1" applyNumberFormat="1">
      <alignment horizontal="center" vertical="center"/>
    </xf>
    <xf borderId="0" fillId="0" fontId="21" numFmtId="169" xfId="0" applyAlignment="1" applyFont="1" applyNumberFormat="1">
      <alignment horizontal="center" vertical="center"/>
    </xf>
    <xf borderId="0" fillId="0" fontId="22" numFmtId="177" xfId="0" applyAlignment="1" applyFont="1" applyNumberFormat="1">
      <alignment horizontal="center" vertical="center"/>
    </xf>
    <xf borderId="17" fillId="0" fontId="27" numFmtId="169" xfId="0" applyAlignment="1" applyBorder="1" applyFont="1" applyNumberFormat="1">
      <alignment horizontal="center" vertical="center"/>
    </xf>
    <xf borderId="4" fillId="10" fontId="22" numFmtId="175" xfId="0" applyAlignment="1" applyBorder="1" applyFont="1" applyNumberFormat="1">
      <alignment horizontal="center" vertical="center"/>
    </xf>
    <xf borderId="0" fillId="0" fontId="40" numFmtId="0" xfId="0" applyFont="1"/>
    <xf borderId="2" fillId="2" fontId="27" numFmtId="0" xfId="0" applyAlignment="1" applyBorder="1" applyFont="1">
      <alignment vertical="center"/>
    </xf>
    <xf borderId="4" fillId="11" fontId="22" numFmtId="0" xfId="0" applyBorder="1" applyFont="1"/>
    <xf borderId="3" fillId="3" fontId="27" numFmtId="164" xfId="0" applyAlignment="1" applyBorder="1" applyFont="1" applyNumberFormat="1">
      <alignment horizontal="center" vertical="center"/>
    </xf>
    <xf borderId="1" fillId="3" fontId="27" numFmtId="165" xfId="0" applyAlignment="1" applyBorder="1" applyFont="1" applyNumberFormat="1">
      <alignment horizontal="center" vertical="center"/>
    </xf>
    <xf borderId="0" fillId="0" fontId="27" numFmtId="165" xfId="0" applyAlignment="1" applyFont="1" applyNumberFormat="1">
      <alignment horizontal="center" vertical="center"/>
    </xf>
    <xf borderId="4" fillId="4" fontId="41" numFmtId="0" xfId="0" applyAlignment="1" applyBorder="1" applyFont="1">
      <alignment horizontal="left" vertical="center"/>
    </xf>
    <xf borderId="4" fillId="8" fontId="27" numFmtId="0" xfId="0" applyAlignment="1" applyBorder="1" applyFont="1">
      <alignment horizontal="center" vertical="center"/>
    </xf>
    <xf borderId="4" fillId="4" fontId="22" numFmtId="0" xfId="0" applyBorder="1" applyFont="1"/>
    <xf borderId="4" fillId="4" fontId="22" numFmtId="2" xfId="0" applyAlignment="1" applyBorder="1" applyFont="1" applyNumberFormat="1">
      <alignment horizontal="center" vertical="center"/>
    </xf>
    <xf borderId="0" fillId="0" fontId="41" numFmtId="0" xfId="0" applyAlignment="1" applyFont="1">
      <alignment horizontal="center" vertical="center"/>
    </xf>
    <xf borderId="0" fillId="0" fontId="30" numFmtId="168" xfId="0" applyAlignment="1" applyFont="1" applyNumberFormat="1">
      <alignment horizontal="center" vertical="center"/>
    </xf>
    <xf borderId="0" fillId="0" fontId="31" numFmtId="168" xfId="0" applyAlignment="1" applyFont="1" applyNumberFormat="1">
      <alignment horizontal="center" vertical="center"/>
    </xf>
    <xf borderId="0" fillId="0" fontId="32" numFmtId="0" xfId="0" applyAlignment="1" applyFont="1">
      <alignment vertical="center"/>
    </xf>
    <xf borderId="5" fillId="0" fontId="27" numFmtId="0" xfId="0" applyAlignment="1" applyBorder="1" applyFont="1">
      <alignment vertical="center"/>
    </xf>
    <xf borderId="5" fillId="0" fontId="22" numFmtId="0" xfId="0" applyAlignment="1" applyBorder="1" applyFont="1">
      <alignment vertical="center"/>
    </xf>
    <xf borderId="6" fillId="0" fontId="22" numFmtId="2" xfId="0" applyAlignment="1" applyBorder="1" applyFont="1" applyNumberFormat="1">
      <alignment horizontal="center" vertical="center"/>
    </xf>
    <xf borderId="0" fillId="0" fontId="22" numFmtId="39" xfId="0" applyAlignment="1" applyFont="1" applyNumberFormat="1">
      <alignment horizontal="center" vertical="center"/>
    </xf>
    <xf borderId="4" fillId="5" fontId="41" numFmtId="0" xfId="0" applyAlignment="1" applyBorder="1" applyFont="1">
      <alignment vertical="center"/>
    </xf>
    <xf borderId="4" fillId="5" fontId="27" numFmtId="0" xfId="0" applyAlignment="1" applyBorder="1" applyFont="1">
      <alignment horizontal="center" vertical="center"/>
    </xf>
    <xf borderId="7" fillId="5" fontId="22" numFmtId="0" xfId="0" applyBorder="1" applyFont="1"/>
    <xf borderId="7" fillId="5" fontId="22" numFmtId="170" xfId="0" applyAlignment="1" applyBorder="1" applyFont="1" applyNumberFormat="1">
      <alignment horizontal="center" vertical="center"/>
    </xf>
    <xf borderId="4" fillId="5" fontId="33" numFmtId="168" xfId="0" applyAlignment="1" applyBorder="1" applyFont="1" applyNumberFormat="1">
      <alignment horizontal="center" vertical="center"/>
    </xf>
    <xf borderId="4" fillId="5" fontId="34" numFmtId="168" xfId="0" applyAlignment="1" applyBorder="1" applyFont="1" applyNumberFormat="1">
      <alignment horizontal="center" vertical="center"/>
    </xf>
    <xf borderId="0" fillId="0" fontId="34" numFmtId="168" xfId="0" applyAlignment="1" applyFont="1" applyNumberFormat="1">
      <alignment horizontal="center" vertical="center"/>
    </xf>
    <xf borderId="0" fillId="0" fontId="22" numFmtId="178" xfId="0" applyAlignment="1" applyFont="1" applyNumberFormat="1">
      <alignment horizontal="center" vertical="center"/>
    </xf>
    <xf borderId="6" fillId="0" fontId="19" numFmtId="178" xfId="0" applyAlignment="1" applyBorder="1" applyFont="1" applyNumberFormat="1">
      <alignment horizontal="center" vertical="center"/>
    </xf>
    <xf borderId="7" fillId="5" fontId="33" numFmtId="168" xfId="0" applyAlignment="1" applyBorder="1" applyFont="1" applyNumberFormat="1">
      <alignment horizontal="center" vertical="center"/>
    </xf>
    <xf borderId="5" fillId="0" fontId="22" numFmtId="178" xfId="0" applyAlignment="1" applyBorder="1" applyFont="1" applyNumberFormat="1">
      <alignment horizontal="center" vertical="center"/>
    </xf>
    <xf borderId="5" fillId="0" fontId="22" numFmtId="169" xfId="0" applyAlignment="1" applyBorder="1" applyFont="1" applyNumberFormat="1">
      <alignment horizontal="center" vertical="center"/>
    </xf>
    <xf borderId="6" fillId="0" fontId="22" numFmtId="0" xfId="0" applyBorder="1" applyFont="1"/>
    <xf borderId="5" fillId="0" fontId="21" numFmtId="179" xfId="0" applyAlignment="1" applyBorder="1" applyFont="1" applyNumberFormat="1">
      <alignment horizontal="center" vertical="center"/>
    </xf>
    <xf borderId="0" fillId="0" fontId="21" numFmtId="167" xfId="0" applyAlignment="1" applyFont="1" applyNumberFormat="1">
      <alignment horizontal="center" vertical="center"/>
    </xf>
    <xf borderId="8" fillId="3" fontId="22" numFmtId="0" xfId="0" applyAlignment="1" applyBorder="1" applyFont="1">
      <alignment horizontal="left" vertical="center"/>
    </xf>
    <xf borderId="9" fillId="3" fontId="22" numFmtId="0" xfId="0" applyAlignment="1" applyBorder="1" applyFont="1">
      <alignment horizontal="center" vertical="center"/>
    </xf>
    <xf borderId="10" fillId="3" fontId="22" numFmtId="0" xfId="0" applyAlignment="1" applyBorder="1" applyFont="1">
      <alignment horizontal="center" vertical="center"/>
    </xf>
    <xf borderId="8" fillId="6" fontId="22" numFmtId="0" xfId="0" applyAlignment="1" applyBorder="1" applyFont="1">
      <alignment horizontal="left" vertical="center"/>
    </xf>
    <xf borderId="9" fillId="6" fontId="22" numFmtId="0" xfId="0" applyAlignment="1" applyBorder="1" applyFont="1">
      <alignment horizontal="center" vertical="center"/>
    </xf>
    <xf borderId="10" fillId="6" fontId="22" numFmtId="0" xfId="0" applyAlignment="1" applyBorder="1" applyFont="1">
      <alignment horizontal="center" vertical="center"/>
    </xf>
    <xf borderId="0" fillId="0" fontId="42" numFmtId="0" xfId="0" applyAlignment="1" applyFont="1">
      <alignment horizontal="center" vertical="center"/>
    </xf>
    <xf borderId="0" fillId="0" fontId="43" numFmtId="0" xfId="0" applyAlignment="1" applyFont="1">
      <alignment horizontal="center" vertical="center"/>
    </xf>
    <xf borderId="3" fillId="0" fontId="27" numFmtId="165" xfId="0" applyAlignment="1" applyBorder="1" applyFont="1" applyNumberFormat="1">
      <alignment horizontal="center" vertical="center"/>
    </xf>
    <xf borderId="0" fillId="0" fontId="19" numFmtId="178" xfId="0" applyAlignment="1" applyFont="1" applyNumberFormat="1">
      <alignment horizontal="center" vertical="center"/>
    </xf>
    <xf borderId="12" fillId="0" fontId="27" numFmtId="178" xfId="0" applyAlignment="1" applyBorder="1" applyFont="1" applyNumberFormat="1">
      <alignment horizontal="center" vertical="center"/>
    </xf>
    <xf borderId="12" fillId="0" fontId="27" numFmtId="167" xfId="0" applyAlignment="1" applyBorder="1" applyFont="1" applyNumberFormat="1">
      <alignment horizontal="center" vertical="center"/>
    </xf>
    <xf borderId="0" fillId="0" fontId="38" numFmtId="178" xfId="0" applyAlignment="1" applyFont="1" applyNumberFormat="1">
      <alignment horizontal="center" vertical="center"/>
    </xf>
    <xf borderId="15" fillId="7" fontId="27" numFmtId="179" xfId="0" applyAlignment="1" applyBorder="1" applyFont="1" applyNumberFormat="1">
      <alignment horizontal="center" vertical="center"/>
    </xf>
    <xf borderId="14" fillId="0" fontId="27" numFmtId="179" xfId="0" applyAlignment="1" applyBorder="1" applyFont="1" applyNumberFormat="1">
      <alignment horizontal="center" vertical="center"/>
    </xf>
    <xf borderId="0" fillId="0" fontId="23" numFmtId="172" xfId="0" applyAlignment="1" applyFont="1" applyNumberFormat="1">
      <alignment horizontal="center" vertical="center"/>
    </xf>
    <xf borderId="15" fillId="7" fontId="27" numFmtId="178" xfId="0" applyAlignment="1" applyBorder="1" applyFont="1" applyNumberFormat="1">
      <alignment horizontal="center" vertical="center"/>
    </xf>
    <xf borderId="14" fillId="0" fontId="27" numFmtId="167" xfId="0" applyAlignment="1" applyBorder="1" applyFont="1" applyNumberFormat="1">
      <alignment horizontal="center" vertical="center"/>
    </xf>
    <xf borderId="14" fillId="0" fontId="29" numFmtId="170" xfId="0" applyAlignment="1" applyBorder="1" applyFont="1" applyNumberFormat="1">
      <alignment horizontal="center" vertical="center"/>
    </xf>
    <xf borderId="13" fillId="8" fontId="27" numFmtId="178" xfId="0" applyAlignment="1" applyBorder="1" applyFont="1" applyNumberFormat="1">
      <alignment horizontal="center" vertical="center"/>
    </xf>
    <xf borderId="11" fillId="0" fontId="27" numFmtId="179" xfId="0" applyAlignment="1" applyBorder="1" applyFont="1" applyNumberFormat="1">
      <alignment horizontal="center" vertical="center"/>
    </xf>
    <xf borderId="0" fillId="0" fontId="22" numFmtId="10" xfId="0" applyAlignment="1" applyFont="1" applyNumberFormat="1">
      <alignment horizontal="left" vertical="center"/>
    </xf>
    <xf borderId="0" fillId="0" fontId="44" numFmtId="0" xfId="0" applyFont="1"/>
    <xf borderId="0" fillId="0" fontId="14" numFmtId="10" xfId="0" applyFont="1" applyNumberFormat="1"/>
    <xf borderId="0" fillId="0" fontId="14" numFmtId="9" xfId="0" applyFont="1" applyNumberFormat="1"/>
    <xf borderId="0" fillId="0" fontId="14" numFmtId="0" xfId="0" applyFont="1"/>
    <xf borderId="0" fillId="0" fontId="14" numFmtId="0" xfId="0" applyAlignment="1" applyFont="1">
      <alignment horizontal="right"/>
    </xf>
    <xf borderId="0" fillId="0" fontId="45" numFmtId="0" xfId="0" applyFont="1"/>
    <xf borderId="0" fillId="0" fontId="14" numFmtId="3" xfId="0" applyFont="1" applyNumberFormat="1"/>
    <xf borderId="0" fillId="0" fontId="14" numFmtId="180" xfId="0" applyFont="1" applyNumberFormat="1"/>
    <xf borderId="0" fillId="0" fontId="7" numFmtId="180" xfId="0" applyFont="1" applyNumberFormat="1"/>
    <xf borderId="0" fillId="0" fontId="46" numFmtId="0" xfId="0" applyFont="1"/>
    <xf borderId="0" fillId="0" fontId="7" numFmtId="4" xfId="0" applyFont="1" applyNumberFormat="1"/>
    <xf borderId="0" fillId="0" fontId="7" numFmtId="2" xfId="0" applyFont="1" applyNumberFormat="1"/>
    <xf borderId="0" fillId="0" fontId="47" numFmtId="0" xfId="0" applyFont="1"/>
    <xf borderId="0" fillId="0" fontId="48" numFmtId="39" xfId="0" applyFont="1" applyNumberFormat="1"/>
    <xf borderId="0" fillId="0" fontId="14" numFmtId="4" xfId="0" applyFont="1" applyNumberFormat="1"/>
    <xf borderId="0" fillId="0" fontId="7" numFmtId="10" xfId="0" applyFont="1" applyNumberFormat="1"/>
    <xf borderId="0" fillId="0" fontId="14" numFmtId="181" xfId="0" applyFont="1" applyNumberFormat="1"/>
    <xf borderId="0" fillId="0" fontId="7" numFmtId="181" xfId="0" applyFont="1" applyNumberFormat="1"/>
    <xf borderId="0" fillId="0" fontId="7" numFmtId="182" xfId="0" applyFont="1" applyNumberFormat="1"/>
    <xf borderId="0" fillId="0" fontId="14" numFmtId="182" xfId="0" applyFont="1" applyNumberFormat="1"/>
    <xf borderId="0" fillId="0" fontId="14" numFmtId="2" xfId="0" applyFont="1" applyNumberFormat="1"/>
    <xf borderId="0" fillId="0" fontId="14" numFmtId="180" xfId="0" applyAlignment="1" applyFont="1" applyNumberFormat="1">
      <alignment horizontal="right"/>
    </xf>
    <xf borderId="0" fillId="0" fontId="7" numFmtId="9" xfId="0" applyFont="1" applyNumberFormat="1"/>
    <xf borderId="0" fillId="0" fontId="49" numFmtId="0" xfId="0" applyFont="1"/>
    <xf borderId="0" fillId="0" fontId="7" numFmtId="2" xfId="0" applyAlignment="1" applyFont="1" applyNumberFormat="1">
      <alignment horizontal="right"/>
    </xf>
    <xf borderId="0" fillId="0" fontId="7" numFmtId="0" xfId="0" applyAlignment="1" applyFont="1">
      <alignment horizontal="left"/>
    </xf>
    <xf borderId="0" fillId="0" fontId="50" numFmtId="39" xfId="0" applyFont="1" applyNumberFormat="1"/>
    <xf borderId="0" fillId="0" fontId="5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209550</xdr:colOff>
      <xdr:row>39</xdr:row>
      <xdr:rowOff>114300</xdr:rowOff>
    </xdr:from>
    <xdr:ext cx="2867025" cy="390525"/>
    <xdr:sp macro="" textlink="">
      <xdr:nvSpPr>
        <xdr:cNvPr id="4" name="TextBox 3">
          <a:extLst>
            <a:ext uri="{FF2B5EF4-FFF2-40B4-BE49-F238E27FC236}"/>
          </a:extLst>
        </xdr:cNvPr>
        <xdr:cNvSpPr txBox="1"/>
      </xdr:nvSpPr>
      <xdr:spPr>
        <a:xfrm>
          <a:off x="10699151" y="7775754"/>
          <a:ext cx="2875472" cy="395377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rtlCol="0" horzOverflow="clip" wrap="square" vertOverflow="clip">
          <a:spAutoFit/>
        </a:bodyPr>
        <a:lstStyle/>
        <a:p>
          <a:endParaRPr lang="en-US" sz="1100"/>
        </a:p>
      </xdr:txBody>
    </xdr:sp>
    <xdr:clientData fLocksWithSheet="0"/>
  </xdr:oneCellAnchor>
  <xdr:oneCellAnchor>
    <xdr:from>
      <xdr:col>2</xdr:col>
      <xdr:colOff>0</xdr:colOff>
      <xdr:row>141</xdr:row>
      <xdr:rowOff>28575</xdr:rowOff>
    </xdr:from>
    <xdr:ext cx="3000375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552450</xdr:colOff>
      <xdr:row>141</xdr:row>
      <xdr:rowOff>38100</xdr:rowOff>
    </xdr:from>
    <xdr:ext cx="3314700" cy="2571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143</xdr:row>
      <xdr:rowOff>66675</xdr:rowOff>
    </xdr:from>
    <xdr:ext cx="2447925" cy="8191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fridastrandloeken/Downloads/20260317_Lesson%208_Valuation%20Exercises_Ex.%202_DCF%20calculation_solved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P Inputs"/>
      <sheetName val="Business Plan"/>
      <sheetName val="Inputs_Classroom slide"/>
      <sheetName val="Sheet1"/>
      <sheetName val="Exercise solved"/>
      <sheetName val="Shareholding History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papers.ssrn.com/sol3/papers.cfm?abstract_id=5354459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2.0"/>
    <col customWidth="1" min="3" max="3" width="13.13"/>
    <col customWidth="1" min="4" max="4" width="10.13"/>
    <col customWidth="1" min="5" max="5" width="15.88"/>
    <col customWidth="1" min="6" max="6" width="10.63"/>
    <col customWidth="1" min="7" max="7" width="12.5"/>
    <col customWidth="1" min="8" max="8" width="11.88"/>
    <col customWidth="1" min="9" max="9" width="12.5"/>
    <col customWidth="1" min="10" max="13" width="10.63"/>
    <col customWidth="1" min="14" max="14" width="10.88"/>
    <col customWidth="1" min="15" max="17" width="10.63"/>
  </cols>
  <sheetData>
    <row r="1" ht="15.75" customHeight="1">
      <c r="I1" s="1">
        <v>1.0</v>
      </c>
      <c r="J1" s="1" t="str">
        <f t="shared" ref="J1:M1" si="1">+I1+1</f>
        <v>2</v>
      </c>
      <c r="K1" s="1" t="str">
        <f t="shared" si="1"/>
        <v>3</v>
      </c>
      <c r="L1" s="1" t="str">
        <f t="shared" si="1"/>
        <v>4</v>
      </c>
      <c r="M1" s="1" t="str">
        <f t="shared" si="1"/>
        <v>5</v>
      </c>
    </row>
    <row r="2" ht="15.75" customHeight="1">
      <c r="E2" s="2" t="s">
        <v>0</v>
      </c>
      <c r="F2" s="3"/>
      <c r="G2" s="4"/>
      <c r="H2" s="4" t="s">
        <v>1</v>
      </c>
      <c r="I2" s="5" t="s">
        <v>2</v>
      </c>
      <c r="J2" s="6" t="s">
        <v>3</v>
      </c>
      <c r="K2" s="6" t="s">
        <v>4</v>
      </c>
      <c r="L2" s="6" t="s">
        <v>5</v>
      </c>
      <c r="M2" s="6" t="s">
        <v>6</v>
      </c>
      <c r="N2" s="6"/>
    </row>
    <row r="3" ht="15.75" customHeight="1">
      <c r="E3" s="7"/>
      <c r="F3" s="8"/>
      <c r="H3" s="8"/>
      <c r="I3" s="8"/>
      <c r="J3" s="8"/>
      <c r="K3" s="8"/>
      <c r="L3" s="8"/>
      <c r="M3" s="8"/>
      <c r="N3" s="8"/>
    </row>
    <row r="4" ht="15.75" customHeight="1">
      <c r="B4" s="9" t="s">
        <v>7</v>
      </c>
      <c r="E4" s="10" t="str">
        <f>+'[1]Exercise solved'!E11</f>
        <v>#REF!</v>
      </c>
      <c r="F4" s="11"/>
      <c r="G4" s="12"/>
      <c r="H4" s="13">
        <v>156.878</v>
      </c>
      <c r="I4" s="13" t="str">
        <f t="shared" ref="I4:J4" si="2">H4*(1+I5)</f>
        <v> 161.58 </v>
      </c>
      <c r="J4" s="14" t="str">
        <f t="shared" si="2"/>
        <v>172.9</v>
      </c>
      <c r="K4" s="14" t="str">
        <f t="shared" ref="K4:L4" si="3">+J4*(1+K5)</f>
        <v>183.3</v>
      </c>
      <c r="L4" s="14" t="str">
        <f t="shared" si="3"/>
        <v>190.6</v>
      </c>
      <c r="M4" s="14" t="str">
        <f>L4*(1+M5)</f>
        <v>198.2</v>
      </c>
      <c r="N4" s="14"/>
    </row>
    <row r="5" ht="15.75" customHeight="1">
      <c r="E5" s="15" t="s">
        <v>8</v>
      </c>
      <c r="F5" s="16"/>
      <c r="G5" s="17"/>
      <c r="H5" s="18"/>
      <c r="I5" s="19">
        <v>0.03</v>
      </c>
      <c r="J5" s="19">
        <v>0.07</v>
      </c>
      <c r="K5" s="19">
        <v>0.06</v>
      </c>
      <c r="L5" s="19">
        <v>0.04</v>
      </c>
      <c r="M5" s="19">
        <v>0.04</v>
      </c>
      <c r="N5" s="19"/>
      <c r="P5" s="9" t="s">
        <v>9</v>
      </c>
      <c r="Q5" t="s">
        <v>10</v>
      </c>
    </row>
    <row r="6" ht="15.75" customHeight="1">
      <c r="E6" s="20"/>
      <c r="F6" s="21"/>
      <c r="H6" s="21"/>
      <c r="I6" s="21"/>
      <c r="J6" s="21"/>
      <c r="K6" s="21"/>
      <c r="L6" s="21"/>
      <c r="M6" s="21"/>
      <c r="N6" s="21"/>
      <c r="Q6" t="s">
        <v>11</v>
      </c>
    </row>
    <row r="7" ht="15.75" customHeight="1">
      <c r="E7" s="22" t="s">
        <v>12</v>
      </c>
      <c r="F7" s="23"/>
      <c r="H7" s="24">
        <v>12.781</v>
      </c>
      <c r="I7" s="25" t="str">
        <f t="shared" ref="I7:M7" si="4">I4*I8</f>
        <v>11.3</v>
      </c>
      <c r="J7" s="25" t="str">
        <f t="shared" si="4"/>
        <v>13.0</v>
      </c>
      <c r="K7" s="25" t="str">
        <f t="shared" si="4"/>
        <v>14.7</v>
      </c>
      <c r="L7" s="25" t="str">
        <f t="shared" si="4"/>
        <v>16.2</v>
      </c>
      <c r="M7" s="25" t="str">
        <f t="shared" si="4"/>
        <v>17.8</v>
      </c>
      <c r="N7" s="25"/>
    </row>
    <row r="8" ht="15.75" customHeight="1">
      <c r="E8" s="26" t="s">
        <v>13</v>
      </c>
      <c r="F8" s="27"/>
      <c r="G8" s="28"/>
      <c r="H8" s="29" t="str">
        <f>H7/H4</f>
        <v>8.1%</v>
      </c>
      <c r="I8" s="29">
        <v>0.07</v>
      </c>
      <c r="J8" s="29">
        <v>0.075</v>
      </c>
      <c r="K8" s="29">
        <v>0.08</v>
      </c>
      <c r="L8" s="29">
        <v>0.085</v>
      </c>
      <c r="M8" s="29">
        <v>0.09</v>
      </c>
      <c r="N8" s="30"/>
      <c r="P8" s="9" t="s">
        <v>14</v>
      </c>
      <c r="Q8" t="s">
        <v>15</v>
      </c>
    </row>
    <row r="9" ht="15.75" customHeight="1">
      <c r="E9" s="7"/>
      <c r="F9" s="8"/>
      <c r="H9" s="8"/>
      <c r="I9" s="8"/>
      <c r="J9" s="8"/>
      <c r="K9" s="8"/>
      <c r="L9" s="8"/>
      <c r="M9" s="8"/>
      <c r="N9" s="8"/>
      <c r="Q9" t="s">
        <v>16</v>
      </c>
    </row>
    <row r="10" ht="15.75" customHeight="1">
      <c r="E10" s="31" t="s">
        <v>17</v>
      </c>
      <c r="F10" s="7"/>
      <c r="H10" s="32">
        <v>7.226</v>
      </c>
      <c r="I10" s="33" t="str">
        <f t="shared" ref="I10:M10" si="5">I11*(H19+I16)</f>
        <v>7.9</v>
      </c>
      <c r="J10" s="33" t="str">
        <f t="shared" si="5"/>
        <v>8.3</v>
      </c>
      <c r="K10" s="33" t="str">
        <f t="shared" si="5"/>
        <v>8.6</v>
      </c>
      <c r="L10" s="33" t="str">
        <f t="shared" si="5"/>
        <v>8.8</v>
      </c>
      <c r="M10" s="33" t="str">
        <f t="shared" si="5"/>
        <v>9.0</v>
      </c>
      <c r="N10" s="33"/>
    </row>
    <row r="11" ht="15.75" customHeight="1">
      <c r="E11" s="34" t="s">
        <v>18</v>
      </c>
      <c r="F11" s="35"/>
      <c r="G11" s="28"/>
      <c r="H11" s="36">
        <v>0.0726</v>
      </c>
      <c r="I11" s="36">
        <v>0.058</v>
      </c>
      <c r="J11" s="36">
        <v>0.059</v>
      </c>
      <c r="K11" s="36">
        <v>0.06</v>
      </c>
      <c r="L11" s="36">
        <v>0.06</v>
      </c>
      <c r="M11" s="36">
        <v>0.06</v>
      </c>
      <c r="N11" s="37"/>
      <c r="P11" s="9" t="s">
        <v>17</v>
      </c>
      <c r="Q11" t="s">
        <v>19</v>
      </c>
    </row>
    <row r="12" ht="15.75" customHeight="1">
      <c r="E12" s="7"/>
      <c r="F12" s="8"/>
      <c r="H12" s="8"/>
      <c r="I12" s="8"/>
      <c r="J12" s="8"/>
      <c r="K12" s="8"/>
      <c r="L12" s="8"/>
      <c r="M12" s="8"/>
      <c r="N12" s="8"/>
      <c r="Q12" t="s">
        <v>20</v>
      </c>
    </row>
    <row r="13" ht="15.75" customHeight="1">
      <c r="E13" s="31" t="s">
        <v>21</v>
      </c>
      <c r="F13" s="7"/>
      <c r="H13" s="38">
        <v>6.302</v>
      </c>
      <c r="I13" s="38" t="str">
        <f t="shared" ref="I13:M13" si="6">I14*I4</f>
        <v> 8.08 </v>
      </c>
      <c r="J13" s="33" t="str">
        <f t="shared" si="6"/>
        <v>9.1</v>
      </c>
      <c r="K13" s="33" t="str">
        <f t="shared" si="6"/>
        <v>10.1</v>
      </c>
      <c r="L13" s="33" t="str">
        <f t="shared" si="6"/>
        <v>11.0</v>
      </c>
      <c r="M13" s="33" t="str">
        <f t="shared" si="6"/>
        <v>11.9</v>
      </c>
      <c r="N13" s="33"/>
    </row>
    <row r="14" ht="15.75" customHeight="1">
      <c r="E14" s="34" t="s">
        <v>22</v>
      </c>
      <c r="F14" s="35"/>
      <c r="G14" s="28"/>
      <c r="H14" s="36" t="str">
        <f>H13/H4</f>
        <v>4.0%</v>
      </c>
      <c r="I14" s="36">
        <v>0.05</v>
      </c>
      <c r="J14" s="36">
        <v>0.0525</v>
      </c>
      <c r="K14" s="36">
        <v>0.055</v>
      </c>
      <c r="L14" s="36">
        <v>0.0575</v>
      </c>
      <c r="M14" s="36">
        <v>0.06</v>
      </c>
      <c r="N14" s="37"/>
      <c r="P14" s="9" t="s">
        <v>21</v>
      </c>
      <c r="Q14" t="s">
        <v>23</v>
      </c>
    </row>
    <row r="15" ht="15.75" customHeight="1">
      <c r="E15" s="7"/>
      <c r="F15" s="8"/>
      <c r="H15" s="21"/>
      <c r="I15" s="21"/>
      <c r="J15" s="8"/>
      <c r="K15" s="8"/>
      <c r="L15" s="8"/>
      <c r="M15" s="8"/>
      <c r="N15" s="8"/>
      <c r="Q15" t="s">
        <v>24</v>
      </c>
    </row>
    <row r="16" ht="15.75" customHeight="1">
      <c r="E16" s="31" t="s">
        <v>25</v>
      </c>
      <c r="F16" s="7"/>
      <c r="H16" s="39">
        <v>11.06</v>
      </c>
      <c r="I16" s="33" t="str">
        <f t="shared" ref="I16:M16" si="7">I4*I17</f>
        <v>10.7</v>
      </c>
      <c r="J16" s="33" t="str">
        <f t="shared" si="7"/>
        <v>11.2</v>
      </c>
      <c r="K16" s="33" t="str">
        <f t="shared" si="7"/>
        <v>11.5</v>
      </c>
      <c r="L16" s="33" t="str">
        <f t="shared" si="7"/>
        <v>11.6</v>
      </c>
      <c r="M16" s="33" t="str">
        <f t="shared" si="7"/>
        <v>11.9</v>
      </c>
      <c r="N16" s="33"/>
    </row>
    <row r="17" ht="15.75" customHeight="1">
      <c r="E17" s="34" t="s">
        <v>22</v>
      </c>
      <c r="F17" s="35"/>
      <c r="G17" s="28"/>
      <c r="H17" s="36" t="str">
        <f>H16/H4</f>
        <v>7.1%</v>
      </c>
      <c r="I17" s="36">
        <v>0.066</v>
      </c>
      <c r="J17" s="36">
        <v>0.065</v>
      </c>
      <c r="K17" s="36">
        <v>0.063</v>
      </c>
      <c r="L17" s="36">
        <v>0.061</v>
      </c>
      <c r="M17" s="36">
        <v>0.06</v>
      </c>
      <c r="N17" s="37"/>
      <c r="P17" s="9" t="s">
        <v>25</v>
      </c>
      <c r="Q17" t="s">
        <v>26</v>
      </c>
    </row>
    <row r="18" ht="15.75" customHeight="1">
      <c r="E18" s="7"/>
      <c r="F18" s="8"/>
      <c r="H18" s="8"/>
      <c r="I18" s="8"/>
      <c r="J18" s="8"/>
      <c r="K18" s="8"/>
      <c r="L18" s="8"/>
      <c r="M18" s="8"/>
      <c r="N18" s="8"/>
      <c r="Q18" t="s">
        <v>27</v>
      </c>
    </row>
    <row r="19" ht="15.75" customHeight="1">
      <c r="E19" s="22" t="s">
        <v>28</v>
      </c>
      <c r="F19" s="40"/>
      <c r="G19" s="41"/>
      <c r="H19" s="42">
        <v>126.029</v>
      </c>
      <c r="I19" s="42" t="str">
        <f t="shared" ref="I19:M19" si="8">H19+I16-I10</f>
        <v>128.8</v>
      </c>
      <c r="J19" s="42" t="str">
        <f t="shared" si="8"/>
        <v>131.7</v>
      </c>
      <c r="K19" s="42" t="str">
        <f t="shared" si="8"/>
        <v>134.7</v>
      </c>
      <c r="L19" s="42" t="str">
        <f t="shared" si="8"/>
        <v>137.5</v>
      </c>
      <c r="M19" s="42" t="str">
        <f t="shared" si="8"/>
        <v>140.5</v>
      </c>
      <c r="N19" s="42"/>
    </row>
    <row r="20" ht="15.75" customHeight="1"/>
    <row r="21" ht="15.75" customHeight="1"/>
    <row r="22" ht="15.75" customHeight="1">
      <c r="E22" s="8"/>
      <c r="F22" s="8"/>
      <c r="G22" s="8"/>
      <c r="H22" s="8"/>
      <c r="I22" s="8"/>
      <c r="J22" s="8"/>
      <c r="K22" s="8"/>
      <c r="L22" s="7"/>
      <c r="M22" s="7"/>
      <c r="N22" s="7"/>
      <c r="O22" s="7"/>
      <c r="P22" s="7"/>
    </row>
    <row r="23" ht="15.75" customHeight="1">
      <c r="B23" s="43"/>
      <c r="C23" s="44"/>
      <c r="D23" s="45"/>
      <c r="E23" s="46"/>
      <c r="F23" s="47"/>
      <c r="G23" s="47"/>
      <c r="H23" s="47"/>
      <c r="I23" s="47"/>
      <c r="J23" s="47"/>
      <c r="K23" s="47"/>
      <c r="L23" s="47"/>
      <c r="M23" s="47"/>
      <c r="N23" s="47"/>
      <c r="O23" s="48"/>
      <c r="P23" s="7"/>
    </row>
    <row r="24" ht="15.75" customHeight="1">
      <c r="B24" s="49" t="s">
        <v>29</v>
      </c>
      <c r="C24" s="50"/>
      <c r="D24" s="51"/>
      <c r="E24" s="52"/>
      <c r="F24" s="53"/>
      <c r="G24" s="53"/>
      <c r="H24" s="53"/>
      <c r="I24" s="53"/>
      <c r="J24" s="53"/>
      <c r="K24" s="53"/>
      <c r="L24" s="53"/>
      <c r="M24" s="53"/>
      <c r="N24" s="53"/>
      <c r="O24" s="54"/>
      <c r="P24" s="7"/>
    </row>
    <row r="25" ht="15.75" customHeight="1">
      <c r="B25" s="55"/>
      <c r="C25" s="56"/>
      <c r="D25" s="57"/>
      <c r="E25" s="58"/>
      <c r="F25" s="8"/>
      <c r="G25" s="8"/>
      <c r="H25" s="8"/>
      <c r="I25" s="8"/>
      <c r="J25" s="8"/>
      <c r="K25" s="8"/>
      <c r="L25" s="8"/>
      <c r="M25" s="8"/>
      <c r="N25" s="8"/>
      <c r="O25" s="8"/>
      <c r="P25" s="7"/>
    </row>
    <row r="26" ht="15.75" customHeight="1">
      <c r="B26" s="58"/>
      <c r="C26" s="8"/>
      <c r="D26" s="57"/>
      <c r="E26" s="58"/>
      <c r="F26" s="8"/>
      <c r="G26" s="8"/>
      <c r="H26" s="8"/>
      <c r="I26" s="1">
        <v>1.0</v>
      </c>
      <c r="J26" s="1" t="str">
        <f t="shared" ref="J26:M26" si="9">+I26+1</f>
        <v>2</v>
      </c>
      <c r="K26" s="1" t="str">
        <f t="shared" si="9"/>
        <v>3</v>
      </c>
      <c r="L26" s="1" t="str">
        <f t="shared" si="9"/>
        <v>4</v>
      </c>
      <c r="M26" s="1" t="str">
        <f t="shared" si="9"/>
        <v>5</v>
      </c>
      <c r="O26" s="59" t="str">
        <f>+M26</f>
        <v>5</v>
      </c>
      <c r="P26" s="7"/>
    </row>
    <row r="27" ht="15.75" customHeight="1">
      <c r="B27" s="60" t="s">
        <v>30</v>
      </c>
      <c r="C27" s="61"/>
      <c r="D27" s="62"/>
      <c r="E27" s="60"/>
      <c r="F27" s="63"/>
      <c r="G27" s="64"/>
      <c r="H27" s="4" t="s">
        <v>1</v>
      </c>
      <c r="I27" s="5" t="s">
        <v>2</v>
      </c>
      <c r="J27" s="6" t="s">
        <v>3</v>
      </c>
      <c r="K27" s="6" t="s">
        <v>4</v>
      </c>
      <c r="L27" s="6" t="s">
        <v>5</v>
      </c>
      <c r="M27" s="6" t="s">
        <v>6</v>
      </c>
      <c r="N27" s="6"/>
      <c r="O27" s="65" t="s">
        <v>31</v>
      </c>
      <c r="P27" s="7"/>
    </row>
    <row r="28" ht="15.75" customHeight="1">
      <c r="B28" s="58"/>
      <c r="C28" s="8"/>
      <c r="D28" s="62"/>
      <c r="E28" s="66" t="s">
        <v>32</v>
      </c>
      <c r="F28" s="8"/>
      <c r="G28" s="8"/>
      <c r="H28" s="67" t="str">
        <f t="shared" ref="H28:M28" si="10">H7</f>
        <v> 12.78 </v>
      </c>
      <c r="I28" s="67" t="str">
        <f t="shared" si="10"/>
        <v> 11.31 </v>
      </c>
      <c r="J28" s="67" t="str">
        <f t="shared" si="10"/>
        <v> 12.97 </v>
      </c>
      <c r="K28" s="67" t="str">
        <f t="shared" si="10"/>
        <v> 14.66 </v>
      </c>
      <c r="L28" s="67" t="str">
        <f t="shared" si="10"/>
        <v> 16.20 </v>
      </c>
      <c r="M28" s="67" t="str">
        <f t="shared" si="10"/>
        <v> 17.84 </v>
      </c>
      <c r="N28" s="67"/>
      <c r="O28" s="68"/>
      <c r="P28" s="7"/>
    </row>
    <row r="29" ht="15.75" customHeight="1">
      <c r="B29" s="58"/>
      <c r="C29" s="8"/>
      <c r="E29" s="66" t="s">
        <v>33</v>
      </c>
      <c r="F29" s="8"/>
      <c r="G29" s="8"/>
      <c r="H29" s="32" t="str">
        <f t="shared" ref="H29:M29" si="11">-H10</f>
        <v>(7.23)</v>
      </c>
      <c r="I29" s="32" t="str">
        <f t="shared" si="11"/>
        <v>(7.93)</v>
      </c>
      <c r="J29" s="32" t="str">
        <f t="shared" si="11"/>
        <v>(8.26)</v>
      </c>
      <c r="K29" s="32" t="str">
        <f t="shared" si="11"/>
        <v>(8.60)</v>
      </c>
      <c r="L29" s="32" t="str">
        <f t="shared" si="11"/>
        <v>(8.78)</v>
      </c>
      <c r="M29" s="32" t="str">
        <f t="shared" si="11"/>
        <v>(8.97)</v>
      </c>
      <c r="N29" s="32"/>
      <c r="O29" s="69"/>
      <c r="P29" s="7"/>
    </row>
    <row r="30" ht="15.75" customHeight="1">
      <c r="B30" s="70"/>
      <c r="C30" s="21"/>
      <c r="E30" s="71" t="s">
        <v>34</v>
      </c>
      <c r="F30" s="72"/>
      <c r="G30" s="72"/>
      <c r="H30" s="73" t="str">
        <f t="array" ref="H30:N30">H28:N28+H29:N29</f>
        <v>5.6</v>
      </c>
      <c r="I30" s="73">
        <v>3.382676946480001</v>
      </c>
      <c r="J30" s="73">
        <v>4.706934989424681</v>
      </c>
      <c r="K30" s="73">
        <v>6.0641606831078825</v>
      </c>
      <c r="L30" s="73">
        <v>7.421866330010676</v>
      </c>
      <c r="M30" s="73">
        <v>8.874165130323567</v>
      </c>
      <c r="N30" s="73">
        <v>0.0</v>
      </c>
      <c r="O30" s="69"/>
      <c r="P30" s="7"/>
    </row>
    <row r="31" ht="15.75" customHeight="1">
      <c r="B31" s="58" t="s">
        <v>35</v>
      </c>
      <c r="C31" s="74">
        <v>0.0282</v>
      </c>
      <c r="E31" s="66" t="s">
        <v>36</v>
      </c>
      <c r="F31" s="8"/>
      <c r="G31" s="57">
        <v>0.17</v>
      </c>
      <c r="H31" s="75" t="str">
        <f t="array" ref="H31:N31">-H30:N30*G31</f>
        <v>(0.9)</v>
      </c>
      <c r="I31" s="76">
        <v>-0.5750550809016002</v>
      </c>
      <c r="J31" s="33">
        <v>-0.8001789482021958</v>
      </c>
      <c r="K31" s="33">
        <v>-1.0309073161283402</v>
      </c>
      <c r="L31" s="33">
        <v>-1.261717276101815</v>
      </c>
      <c r="M31" s="33">
        <v>-1.5086080721550064</v>
      </c>
      <c r="N31" s="33">
        <v>0.0</v>
      </c>
      <c r="O31" s="68"/>
      <c r="P31" s="7"/>
    </row>
    <row r="32" ht="15.75" customHeight="1">
      <c r="B32" s="58" t="s">
        <v>37</v>
      </c>
      <c r="C32" s="77">
        <v>0.055</v>
      </c>
      <c r="E32" s="66" t="s">
        <v>38</v>
      </c>
      <c r="F32" s="8"/>
      <c r="G32" s="8"/>
      <c r="H32" s="75" t="str">
        <f t="array" ref="H32:N32">H10:N10</f>
        <v>7.2</v>
      </c>
      <c r="I32" s="75">
        <v>7.928226853519999</v>
      </c>
      <c r="J32" s="33">
        <v>8.26020829557532</v>
      </c>
      <c r="K32" s="33">
        <v>8.597355991132119</v>
      </c>
      <c r="L32" s="33">
        <v>8.77910959502453</v>
      </c>
      <c r="M32" s="33">
        <v>8.965968358891667</v>
      </c>
      <c r="N32" s="33"/>
      <c r="O32" s="68"/>
      <c r="P32" s="7"/>
    </row>
    <row r="33" ht="15.75" customHeight="1">
      <c r="B33" s="58" t="s">
        <v>39</v>
      </c>
      <c r="C33" s="78">
        <v>0.013</v>
      </c>
      <c r="E33" s="66" t="s">
        <v>40</v>
      </c>
      <c r="F33" s="8"/>
      <c r="G33" s="8"/>
      <c r="H33" s="75"/>
      <c r="I33" s="75" t="str">
        <f t="shared" ref="I33:M33" si="12">-H13+I13</f>
        <v>1.8</v>
      </c>
      <c r="J33" s="75" t="str">
        <f t="shared" si="12"/>
        <v>1.0</v>
      </c>
      <c r="K33" s="75" t="str">
        <f t="shared" si="12"/>
        <v>1.0</v>
      </c>
      <c r="L33" s="75" t="str">
        <f t="shared" si="12"/>
        <v>0.9</v>
      </c>
      <c r="M33" s="75" t="str">
        <f t="shared" si="12"/>
        <v>0.9</v>
      </c>
      <c r="N33" s="75"/>
      <c r="O33" s="68"/>
      <c r="P33" s="7"/>
    </row>
    <row r="34" ht="15.75" customHeight="1">
      <c r="B34" s="58" t="s">
        <v>41</v>
      </c>
      <c r="C34" s="79">
        <v>0.46</v>
      </c>
      <c r="E34" s="80" t="s">
        <v>42</v>
      </c>
      <c r="F34" s="81"/>
      <c r="G34" s="81"/>
      <c r="H34" s="82"/>
      <c r="I34" s="82" t="str">
        <f t="shared" ref="I34:N34" si="13">+I30+I31+I32+I33</f>
        <v>12.5</v>
      </c>
      <c r="J34" s="82" t="str">
        <f t="shared" si="13"/>
        <v>13.2</v>
      </c>
      <c r="K34" s="82" t="str">
        <f t="shared" si="13"/>
        <v>14.6</v>
      </c>
      <c r="L34" s="82" t="str">
        <f t="shared" si="13"/>
        <v>15.8</v>
      </c>
      <c r="M34" s="82" t="str">
        <f t="shared" si="13"/>
        <v>17.3</v>
      </c>
      <c r="N34" s="82" t="str">
        <f t="shared" si="13"/>
        <v>-</v>
      </c>
      <c r="O34" s="68"/>
      <c r="P34" s="7"/>
    </row>
    <row r="35" ht="15.75" customHeight="1">
      <c r="B35" s="58" t="s">
        <v>43</v>
      </c>
      <c r="C35" s="83">
        <v>0.54</v>
      </c>
      <c r="E35" s="84" t="s">
        <v>44</v>
      </c>
      <c r="F35" s="85"/>
      <c r="G35" s="85"/>
      <c r="H35" s="86"/>
      <c r="I35" s="86" t="str">
        <f t="shared" ref="I35:M35" si="14">I34/I28</f>
        <v>110.6%</v>
      </c>
      <c r="J35" s="86" t="str">
        <f t="shared" si="14"/>
        <v>101.5%</v>
      </c>
      <c r="K35" s="86" t="str">
        <f t="shared" si="14"/>
        <v>99.8%</v>
      </c>
      <c r="L35" s="86" t="str">
        <f t="shared" si="14"/>
        <v>97.6%</v>
      </c>
      <c r="M35" s="86" t="str">
        <f t="shared" si="14"/>
        <v>96.8%</v>
      </c>
      <c r="N35" s="86"/>
      <c r="O35" s="68"/>
      <c r="P35" s="7"/>
    </row>
    <row r="36" ht="15.75" customHeight="1">
      <c r="B36" s="58" t="s">
        <v>45</v>
      </c>
      <c r="C36" s="87">
        <v>0.85</v>
      </c>
      <c r="E36" s="58"/>
      <c r="F36" s="8"/>
      <c r="G36" s="8"/>
      <c r="H36" s="8"/>
      <c r="I36" s="8"/>
      <c r="J36" s="8"/>
      <c r="K36" s="8"/>
      <c r="L36" s="8"/>
      <c r="M36" s="8"/>
      <c r="N36" s="8"/>
      <c r="O36" s="68"/>
      <c r="P36" s="7"/>
    </row>
    <row r="37" ht="15.75" customHeight="1">
      <c r="B37" s="58"/>
      <c r="C37" s="88"/>
      <c r="E37" s="66" t="s">
        <v>46</v>
      </c>
      <c r="F37" s="8"/>
      <c r="G37" s="8"/>
      <c r="H37" s="39" t="str">
        <f t="array" ref="H37:N37">-H16:N16</f>
        <v>(11.06)</v>
      </c>
      <c r="I37" s="89">
        <v>-10.66456644</v>
      </c>
      <c r="J37" s="33">
        <v>-11.238190847</v>
      </c>
      <c r="K37" s="33">
        <v>-11.545944380964002</v>
      </c>
      <c r="L37" s="33">
        <v>-11.626582722672321</v>
      </c>
      <c r="M37" s="33">
        <v>-11.89342232614349</v>
      </c>
      <c r="N37" s="33">
        <v>0.0</v>
      </c>
      <c r="O37" s="68"/>
      <c r="P37" s="7"/>
    </row>
    <row r="38" ht="15.75" customHeight="1">
      <c r="B38" s="58" t="s">
        <v>47</v>
      </c>
      <c r="C38" s="90">
        <v>0.99</v>
      </c>
      <c r="E38" s="80" t="s">
        <v>48</v>
      </c>
      <c r="F38" s="81"/>
      <c r="G38" s="81"/>
      <c r="H38" s="82"/>
      <c r="I38" s="82" t="str">
        <f t="shared" ref="I38:N38" si="15">I34+I37</f>
        <v>1.8</v>
      </c>
      <c r="J38" s="82" t="str">
        <f t="shared" si="15"/>
        <v>1.9</v>
      </c>
      <c r="K38" s="82" t="str">
        <f t="shared" si="15"/>
        <v>3.1</v>
      </c>
      <c r="L38" s="82" t="str">
        <f t="shared" si="15"/>
        <v>4.2</v>
      </c>
      <c r="M38" s="82" t="str">
        <f t="shared" si="15"/>
        <v>5.4</v>
      </c>
      <c r="N38" s="82" t="str">
        <f t="shared" si="15"/>
        <v>-</v>
      </c>
      <c r="O38" s="91"/>
      <c r="P38" s="7"/>
    </row>
    <row r="39" ht="15.75" customHeight="1">
      <c r="B39" s="58"/>
      <c r="C39" s="62"/>
      <c r="E39" s="84" t="s">
        <v>44</v>
      </c>
      <c r="F39" s="85"/>
      <c r="G39" s="85"/>
      <c r="H39" s="86"/>
      <c r="I39" s="86" t="str">
        <f t="shared" ref="I39:M39" si="16">I38/I28</f>
        <v>16.3%</v>
      </c>
      <c r="J39" s="86" t="str">
        <f t="shared" si="16"/>
        <v>14.9%</v>
      </c>
      <c r="K39" s="86" t="str">
        <f t="shared" si="16"/>
        <v>21.1%</v>
      </c>
      <c r="L39" s="86" t="str">
        <f t="shared" si="16"/>
        <v>25.9%</v>
      </c>
      <c r="M39" s="86" t="str">
        <f t="shared" si="16"/>
        <v>30.1%</v>
      </c>
      <c r="N39" s="86"/>
      <c r="O39" s="91"/>
      <c r="P39" s="7"/>
    </row>
    <row r="40" ht="15.75" customHeight="1">
      <c r="B40" s="80" t="s">
        <v>49</v>
      </c>
      <c r="C40" s="92" t="str">
        <f>+C31+C38*C32</f>
        <v>8.3%</v>
      </c>
      <c r="E40" s="58"/>
      <c r="F40" s="8"/>
      <c r="G40" s="8"/>
      <c r="H40" s="8"/>
      <c r="I40" s="8"/>
      <c r="J40" s="8"/>
      <c r="K40" s="8"/>
      <c r="L40" s="8"/>
      <c r="M40" s="8"/>
      <c r="N40" s="8"/>
      <c r="O40" s="8"/>
      <c r="P40" s="7"/>
    </row>
    <row r="41" ht="15.75" customHeight="1">
      <c r="B41" s="93" t="s">
        <v>50</v>
      </c>
      <c r="C41" s="94">
        <v>0.032</v>
      </c>
      <c r="E41" s="95" t="s">
        <v>51</v>
      </c>
      <c r="F41" s="96"/>
      <c r="G41" s="97"/>
      <c r="H41" s="98"/>
      <c r="I41" s="99" t="str">
        <f t="shared" ref="I41:M41" si="17">I38/(1+$C45)^I26</f>
        <v>1.7</v>
      </c>
      <c r="J41" s="99" t="str">
        <f t="shared" si="17"/>
        <v>1.7</v>
      </c>
      <c r="K41" s="99" t="str">
        <f t="shared" si="17"/>
        <v>2.6</v>
      </c>
      <c r="L41" s="99" t="str">
        <f t="shared" si="17"/>
        <v>3.4</v>
      </c>
      <c r="M41" s="99" t="str">
        <f t="shared" si="17"/>
        <v>4.1</v>
      </c>
      <c r="N41" s="99"/>
      <c r="O41" s="8"/>
      <c r="P41" s="7"/>
    </row>
    <row r="42" ht="15.75" customHeight="1">
      <c r="B42" s="58" t="s">
        <v>52</v>
      </c>
      <c r="C42" s="57">
        <v>0.17</v>
      </c>
      <c r="E42" s="100" t="s">
        <v>53</v>
      </c>
      <c r="F42" s="96"/>
      <c r="G42" s="97"/>
      <c r="H42" s="101"/>
      <c r="I42" s="101"/>
      <c r="J42" s="102"/>
      <c r="K42" s="102"/>
      <c r="L42" s="102"/>
      <c r="M42" s="102"/>
      <c r="N42" s="102"/>
      <c r="O42" s="103" t="str">
        <f>C52/(1+C45)^O26</f>
        <v>68.9</v>
      </c>
      <c r="P42" s="7"/>
    </row>
    <row r="43" ht="15.75" customHeight="1">
      <c r="E43" s="104" t="s">
        <v>54</v>
      </c>
      <c r="F43" s="105"/>
      <c r="G43" s="106" t="str">
        <f>I41+J41+K41+L41+M41+O42</f>
        <v>82.4</v>
      </c>
      <c r="H43" s="8"/>
      <c r="I43" s="8"/>
      <c r="J43" s="8"/>
      <c r="K43" s="107"/>
      <c r="L43" s="8"/>
      <c r="M43" s="8"/>
      <c r="N43" s="8"/>
      <c r="O43" s="8"/>
      <c r="P43" s="7"/>
    </row>
    <row r="44" ht="15.75" customHeight="1">
      <c r="B44" s="58"/>
      <c r="C44" s="108"/>
      <c r="E44" s="100" t="s">
        <v>55</v>
      </c>
      <c r="F44" s="101"/>
      <c r="G44" s="89">
        <v>13.347</v>
      </c>
      <c r="H44" s="8"/>
      <c r="I44" s="8"/>
      <c r="J44" s="8"/>
      <c r="K44" s="33"/>
      <c r="L44" s="8"/>
      <c r="M44" s="8"/>
      <c r="N44" s="8"/>
      <c r="O44" s="8"/>
      <c r="P44" s="7"/>
    </row>
    <row r="45" ht="15.75" customHeight="1">
      <c r="B45" s="109" t="s">
        <v>56</v>
      </c>
      <c r="C45" s="110" t="str">
        <f>C40*C35+C41*C34*(1-C42)</f>
        <v>5.68%</v>
      </c>
      <c r="E45" s="104" t="s">
        <v>57</v>
      </c>
      <c r="F45" s="105"/>
      <c r="G45" s="106" t="str">
        <f>G43-G44</f>
        <v>69.1</v>
      </c>
      <c r="H45" s="111"/>
      <c r="I45" s="111"/>
      <c r="J45" s="111"/>
      <c r="K45" s="112"/>
      <c r="L45" s="111"/>
      <c r="M45" s="111"/>
      <c r="N45" s="111"/>
      <c r="O45" s="8"/>
      <c r="P45" s="7"/>
    </row>
    <row r="46" ht="15.75" customHeight="1">
      <c r="B46" s="15"/>
      <c r="C46" s="108"/>
      <c r="E46" s="58"/>
      <c r="F46" s="8"/>
      <c r="G46" s="8"/>
      <c r="H46" s="8"/>
      <c r="I46" s="8"/>
      <c r="J46" s="8"/>
      <c r="K46" s="8"/>
      <c r="L46" s="8"/>
      <c r="M46" s="33"/>
      <c r="N46" s="8"/>
      <c r="O46" s="8"/>
      <c r="P46" s="7"/>
    </row>
    <row r="47" ht="15.75" customHeight="1">
      <c r="E47" s="113" t="s">
        <v>58</v>
      </c>
      <c r="F47" s="114" t="s">
        <v>12</v>
      </c>
      <c r="G47" s="114" t="s">
        <v>59</v>
      </c>
      <c r="H47" s="8"/>
      <c r="I47" s="8"/>
      <c r="J47" s="8"/>
      <c r="K47" s="8"/>
      <c r="L47" s="8"/>
      <c r="M47" s="8"/>
      <c r="N47" s="8"/>
      <c r="O47" s="8"/>
      <c r="P47" s="7"/>
    </row>
    <row r="48" ht="15.75" customHeight="1">
      <c r="B48" s="115" t="s">
        <v>60</v>
      </c>
      <c r="C48" s="116"/>
      <c r="E48" s="58" t="s">
        <v>61</v>
      </c>
      <c r="F48" s="33" t="str">
        <f>+I28</f>
        <v>11.3</v>
      </c>
      <c r="G48" s="117" t="str">
        <f>+G43/F48</f>
        <v>7.3x</v>
      </c>
      <c r="H48" s="8"/>
      <c r="I48" s="8"/>
      <c r="J48" s="8"/>
      <c r="K48" s="8"/>
      <c r="L48" s="8"/>
      <c r="M48" s="8"/>
      <c r="N48" s="8"/>
      <c r="O48" s="8"/>
      <c r="P48" s="7"/>
    </row>
    <row r="49" ht="15.75" customHeight="1">
      <c r="B49" s="58" t="s">
        <v>62</v>
      </c>
      <c r="C49" s="62">
        <v>0.011</v>
      </c>
      <c r="E49" s="93" t="s">
        <v>63</v>
      </c>
      <c r="F49" s="33" t="str">
        <f>J7</f>
        <v>13.0</v>
      </c>
      <c r="G49" s="117" t="str">
        <f>G43/F49</f>
        <v>6.4x</v>
      </c>
      <c r="H49" s="8"/>
      <c r="I49" s="8"/>
      <c r="J49" s="8"/>
      <c r="K49" s="8"/>
      <c r="L49" s="8"/>
      <c r="M49" s="8"/>
      <c r="N49" s="118"/>
      <c r="O49" s="8"/>
      <c r="P49" s="7"/>
    </row>
    <row r="50" ht="15.75" customHeight="1">
      <c r="B50" s="58" t="s">
        <v>64</v>
      </c>
      <c r="C50" s="119" t="str">
        <f>+M41*(1+C49)</f>
        <v>4.1</v>
      </c>
      <c r="E50" s="93" t="s">
        <v>65</v>
      </c>
      <c r="F50" s="33" t="str">
        <f>K7</f>
        <v>14.7</v>
      </c>
      <c r="G50" s="117" t="str">
        <f>G43/F50</f>
        <v>5.6x</v>
      </c>
      <c r="H50" s="8"/>
      <c r="I50" s="8"/>
      <c r="J50" s="8"/>
      <c r="K50" s="8"/>
      <c r="L50" s="8"/>
      <c r="M50" s="8"/>
      <c r="N50" s="8"/>
      <c r="O50" s="8"/>
      <c r="P50" s="7"/>
    </row>
    <row r="51" ht="15.75" customHeight="1">
      <c r="E51" s="93" t="s">
        <v>66</v>
      </c>
      <c r="F51" s="33" t="str">
        <f>L7</f>
        <v>16.2</v>
      </c>
      <c r="G51" s="117" t="str">
        <f>G43/F51</f>
        <v>5.1x</v>
      </c>
      <c r="H51" s="8"/>
      <c r="I51" s="8"/>
      <c r="J51" s="7"/>
      <c r="K51" s="7"/>
      <c r="L51" s="7"/>
      <c r="M51" s="7"/>
      <c r="N51" s="7"/>
      <c r="O51" s="7"/>
      <c r="P51" s="7"/>
    </row>
    <row r="52" ht="15.75" customHeight="1">
      <c r="B52" s="109" t="s">
        <v>31</v>
      </c>
      <c r="C52" s="120" t="str">
        <f>+(C50*(1+C49))/(C45-C49)</f>
        <v>90.8</v>
      </c>
      <c r="E52" s="93" t="s">
        <v>67</v>
      </c>
      <c r="F52" s="33" t="str">
        <f>M7</f>
        <v>17.8</v>
      </c>
      <c r="G52" s="121" t="str">
        <f>G43/F52</f>
        <v>4.6x</v>
      </c>
      <c r="H52" s="58"/>
      <c r="I52" s="8"/>
      <c r="J52" s="7"/>
      <c r="K52" s="7"/>
      <c r="L52" s="7"/>
      <c r="M52" s="7"/>
      <c r="N52" s="7"/>
      <c r="O52" s="7"/>
      <c r="P52" s="7"/>
    </row>
    <row r="53" ht="15.75" customHeight="1">
      <c r="E53" s="93"/>
      <c r="F53" s="33"/>
      <c r="G53" s="90"/>
      <c r="H53" s="58"/>
      <c r="I53" s="8"/>
    </row>
    <row r="54" ht="15.75" customHeight="1">
      <c r="H54" s="58"/>
      <c r="I54" s="8"/>
    </row>
    <row r="55" ht="15.75" customHeight="1">
      <c r="H55" s="58"/>
      <c r="I55" s="8"/>
    </row>
    <row r="56" ht="15.75" customHeight="1">
      <c r="H56" s="58"/>
      <c r="I56" s="58"/>
    </row>
    <row r="57" ht="15.75" customHeight="1">
      <c r="H57" s="58"/>
      <c r="I57" s="8"/>
    </row>
    <row r="58" ht="15.75" customHeight="1">
      <c r="H58" s="58"/>
      <c r="I58" s="8"/>
    </row>
    <row r="59" ht="15.75" customHeight="1">
      <c r="H59" s="84"/>
      <c r="I59" s="85"/>
    </row>
    <row r="60" ht="15.75" customHeight="1">
      <c r="H60" s="58"/>
      <c r="I60" s="122"/>
    </row>
    <row r="61" ht="15.75" customHeight="1">
      <c r="H61" s="58"/>
      <c r="I61" s="122"/>
    </row>
    <row r="62" ht="15.75" customHeight="1">
      <c r="H62" s="58"/>
      <c r="I62" s="123"/>
    </row>
    <row r="63" ht="15.75" customHeight="1">
      <c r="H63" s="58"/>
      <c r="I63" s="124"/>
    </row>
    <row r="64" ht="15.75" customHeight="1">
      <c r="H64" s="58"/>
      <c r="I64" s="124"/>
    </row>
    <row r="65" ht="15.75" customHeight="1">
      <c r="H65" s="58"/>
      <c r="I65" s="125"/>
    </row>
    <row r="66" ht="15.75" customHeight="1">
      <c r="H66" s="58"/>
      <c r="I66" s="8"/>
    </row>
    <row r="67" ht="15.75" customHeight="1">
      <c r="H67" s="58"/>
      <c r="I67" s="123"/>
    </row>
    <row r="68" ht="15.75" customHeight="1">
      <c r="H68" s="58"/>
      <c r="I68" s="122"/>
    </row>
    <row r="69" ht="15.75" customHeight="1">
      <c r="H69" s="58"/>
      <c r="I69" s="122"/>
    </row>
    <row r="70" ht="15.75" customHeight="1">
      <c r="H70" s="58"/>
      <c r="I70" s="8"/>
    </row>
    <row r="71" ht="15.75" customHeight="1">
      <c r="H71" s="58"/>
      <c r="I71" s="8"/>
    </row>
    <row r="72" ht="15.75" customHeight="1">
      <c r="H72" s="58"/>
      <c r="I72" s="122"/>
    </row>
    <row r="73" ht="15.75" customHeight="1">
      <c r="H73" s="58"/>
      <c r="I73" s="126"/>
    </row>
    <row r="74" ht="15.75" customHeight="1">
      <c r="H74" s="58"/>
      <c r="I74" s="122"/>
    </row>
    <row r="75" ht="15.75" customHeight="1">
      <c r="H75" s="58"/>
      <c r="I75" s="8"/>
    </row>
    <row r="76" ht="15.75" customHeight="1">
      <c r="H76" s="58"/>
      <c r="I76" s="122"/>
    </row>
    <row r="77" ht="15.75" customHeight="1">
      <c r="H77" s="58"/>
      <c r="I77" s="8"/>
    </row>
    <row r="78" ht="15.75" customHeight="1">
      <c r="H78" s="58"/>
      <c r="I78" s="8"/>
    </row>
    <row r="79" ht="15.75" customHeight="1">
      <c r="H79" s="58"/>
      <c r="I79" s="122"/>
    </row>
    <row r="80" ht="15.75" customHeight="1">
      <c r="H80" s="58"/>
      <c r="I80" s="127"/>
    </row>
    <row r="81" ht="15.75" customHeight="1">
      <c r="H81" s="58"/>
      <c r="I81" s="8"/>
    </row>
    <row r="82" ht="15.75" customHeight="1">
      <c r="H82" s="58"/>
      <c r="I82" s="127"/>
    </row>
    <row r="83" ht="15.75" customHeight="1">
      <c r="H83" s="128"/>
      <c r="I83" s="128"/>
    </row>
    <row r="84" ht="15.75" customHeight="1">
      <c r="H84" s="128"/>
      <c r="I84" s="128"/>
    </row>
    <row r="85" ht="15.75" customHeight="1">
      <c r="H85" s="128"/>
      <c r="I85" s="128"/>
    </row>
    <row r="86" ht="15.75" customHeight="1">
      <c r="H86" s="128"/>
      <c r="I86" s="128"/>
    </row>
    <row r="87" ht="15.75" customHeight="1">
      <c r="H87" s="128"/>
      <c r="I87" s="128"/>
    </row>
    <row r="88" ht="15.75" customHeight="1">
      <c r="H88" s="128"/>
      <c r="I88" s="128"/>
    </row>
    <row r="89" ht="15.75" customHeight="1">
      <c r="H89" s="128"/>
      <c r="I89" s="128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5.88"/>
    <col customWidth="1" min="3" max="7" width="10.63"/>
    <col customWidth="1" min="8" max="8" width="14.63"/>
    <col customWidth="1" min="9" max="9" width="16.5"/>
    <col customWidth="1" min="10" max="10" width="12.0"/>
    <col customWidth="1" min="11" max="11" width="10.63"/>
    <col customWidth="1" min="12" max="12" width="11.88"/>
    <col customWidth="1" min="13" max="16" width="10.63"/>
  </cols>
  <sheetData>
    <row r="1" ht="15.75" customHeight="1">
      <c r="G1" s="129"/>
      <c r="H1" s="1">
        <v>1.0</v>
      </c>
      <c r="I1" s="1" t="str">
        <f t="shared" ref="I1:L1" si="1">+H1+1</f>
        <v>2</v>
      </c>
      <c r="J1" s="1" t="str">
        <f t="shared" si="1"/>
        <v>3</v>
      </c>
      <c r="K1" s="1" t="str">
        <f t="shared" si="1"/>
        <v>4</v>
      </c>
      <c r="L1" s="1" t="str">
        <f t="shared" si="1"/>
        <v>5</v>
      </c>
    </row>
    <row r="2" ht="15.75" customHeight="1">
      <c r="E2" s="130" t="s">
        <v>68</v>
      </c>
      <c r="F2" s="131"/>
      <c r="G2" s="132"/>
      <c r="H2" s="133" t="s">
        <v>1</v>
      </c>
      <c r="I2" s="134" t="s">
        <v>2</v>
      </c>
      <c r="J2" s="135" t="s">
        <v>3</v>
      </c>
      <c r="K2" s="135" t="s">
        <v>4</v>
      </c>
      <c r="L2" s="135" t="s">
        <v>5</v>
      </c>
      <c r="M2" s="136" t="s">
        <v>6</v>
      </c>
      <c r="N2" s="137"/>
    </row>
    <row r="3" ht="15.75" customHeight="1">
      <c r="E3" s="7"/>
      <c r="F3" s="8"/>
      <c r="H3" s="138"/>
      <c r="I3" s="138"/>
      <c r="J3" s="138"/>
      <c r="K3" s="138"/>
      <c r="L3" s="138"/>
      <c r="M3" s="138"/>
      <c r="N3" s="8"/>
    </row>
    <row r="4" ht="15.75" customHeight="1">
      <c r="B4" s="9" t="s">
        <v>7</v>
      </c>
      <c r="E4" s="10" t="str">
        <f>+'[1]Exercise solved'!E11</f>
        <v>#REF!</v>
      </c>
      <c r="F4" s="11"/>
      <c r="G4" s="139"/>
      <c r="H4" s="140">
        <v>145.594</v>
      </c>
      <c r="I4" s="141" t="str">
        <f t="shared" ref="I4:M4" si="2">H4*(1+I5)</f>
        <v> 141.23 </v>
      </c>
      <c r="J4" s="142" t="str">
        <f t="shared" si="2"/>
        <v>144.1</v>
      </c>
      <c r="K4" s="142" t="str">
        <f t="shared" si="2"/>
        <v>148.4</v>
      </c>
      <c r="L4" s="142" t="str">
        <f t="shared" si="2"/>
        <v>152.8</v>
      </c>
      <c r="M4" s="142" t="str">
        <f t="shared" si="2"/>
        <v>158.9</v>
      </c>
      <c r="N4" s="143"/>
      <c r="O4" s="9" t="s">
        <v>69</v>
      </c>
      <c r="P4" t="s">
        <v>70</v>
      </c>
    </row>
    <row r="5" ht="15.75" customHeight="1">
      <c r="E5" s="15" t="s">
        <v>8</v>
      </c>
      <c r="F5" s="16"/>
      <c r="H5" s="144" t="s">
        <v>71</v>
      </c>
      <c r="I5" s="145">
        <v>-0.03</v>
      </c>
      <c r="J5" s="145">
        <v>0.02</v>
      </c>
      <c r="K5" s="145">
        <v>0.03</v>
      </c>
      <c r="L5" s="145">
        <v>0.03</v>
      </c>
      <c r="M5" s="145">
        <v>0.04</v>
      </c>
      <c r="N5" s="19"/>
      <c r="O5" s="146"/>
      <c r="P5" t="s">
        <v>72</v>
      </c>
    </row>
    <row r="6" ht="15.75" customHeight="1">
      <c r="E6" s="20"/>
      <c r="F6" s="21"/>
      <c r="H6" s="147"/>
      <c r="I6" s="147"/>
      <c r="J6" s="147"/>
      <c r="K6" s="147"/>
      <c r="L6" s="147"/>
      <c r="M6" s="147"/>
      <c r="N6" s="21"/>
    </row>
    <row r="7" ht="15.75" customHeight="1">
      <c r="E7" s="22" t="s">
        <v>12</v>
      </c>
      <c r="F7" s="23"/>
      <c r="H7" s="148">
        <v>21.505</v>
      </c>
      <c r="I7" s="148" t="str">
        <f t="shared" ref="I7:M7" si="3">I8*I4</f>
        <v> 19.77 </v>
      </c>
      <c r="J7" s="149" t="str">
        <f t="shared" si="3"/>
        <v>20.9</v>
      </c>
      <c r="K7" s="149" t="str">
        <f t="shared" si="3"/>
        <v>22.3</v>
      </c>
      <c r="L7" s="149" t="str">
        <f t="shared" si="3"/>
        <v>23.7</v>
      </c>
      <c r="M7" s="149" t="str">
        <f t="shared" si="3"/>
        <v>25.4</v>
      </c>
      <c r="N7" s="33"/>
      <c r="O7" s="150" t="s">
        <v>73</v>
      </c>
      <c r="P7" t="s">
        <v>74</v>
      </c>
    </row>
    <row r="8" ht="15.75" customHeight="1">
      <c r="E8" s="26" t="s">
        <v>13</v>
      </c>
      <c r="F8" s="27"/>
      <c r="G8" s="151"/>
      <c r="H8" s="152" t="str">
        <f>H7/H4</f>
        <v>14.8%</v>
      </c>
      <c r="I8" s="152">
        <v>0.14</v>
      </c>
      <c r="J8" s="152">
        <v>0.145</v>
      </c>
      <c r="K8" s="152">
        <v>0.15</v>
      </c>
      <c r="L8" s="152">
        <v>0.155</v>
      </c>
      <c r="M8" s="152">
        <v>0.16</v>
      </c>
      <c r="N8" s="153"/>
      <c r="O8" s="146"/>
      <c r="P8" t="s">
        <v>75</v>
      </c>
    </row>
    <row r="9" ht="15.75" customHeight="1">
      <c r="E9" s="7"/>
      <c r="F9" s="8"/>
      <c r="H9" s="138"/>
      <c r="I9" s="138"/>
      <c r="J9" s="138"/>
      <c r="K9" s="138"/>
      <c r="L9" s="138"/>
      <c r="M9" s="138"/>
      <c r="N9" s="8"/>
      <c r="O9" s="146"/>
      <c r="P9" s="146"/>
    </row>
    <row r="10" ht="15.75" customHeight="1">
      <c r="E10" s="22" t="s">
        <v>17</v>
      </c>
      <c r="F10" s="23"/>
      <c r="H10" s="148">
        <v>6.772</v>
      </c>
      <c r="I10" s="149" t="str">
        <f t="shared" ref="I10:M10" si="4">I11*(H19+I16)</f>
        <v>9.5</v>
      </c>
      <c r="J10" s="149" t="str">
        <f t="shared" si="4"/>
        <v>9.4</v>
      </c>
      <c r="K10" s="149" t="str">
        <f t="shared" si="4"/>
        <v>9.7</v>
      </c>
      <c r="L10" s="149" t="str">
        <f t="shared" si="4"/>
        <v>9.8</v>
      </c>
      <c r="M10" s="149" t="str">
        <f t="shared" si="4"/>
        <v>10.1</v>
      </c>
      <c r="N10" s="33"/>
      <c r="O10" s="150" t="s">
        <v>76</v>
      </c>
      <c r="P10" t="s">
        <v>77</v>
      </c>
    </row>
    <row r="11" ht="15.75" customHeight="1">
      <c r="E11" s="26" t="s">
        <v>18</v>
      </c>
      <c r="F11" s="27"/>
      <c r="G11" s="151"/>
      <c r="H11" s="154"/>
      <c r="I11" s="154">
        <v>0.055</v>
      </c>
      <c r="J11" s="155">
        <v>0.055</v>
      </c>
      <c r="K11" s="155">
        <v>0.057</v>
      </c>
      <c r="L11" s="155">
        <v>0.058</v>
      </c>
      <c r="M11" s="155">
        <v>0.06</v>
      </c>
      <c r="N11" s="156"/>
      <c r="O11" s="146"/>
      <c r="P11" t="s">
        <v>78</v>
      </c>
    </row>
    <row r="12" ht="15.75" customHeight="1">
      <c r="E12" s="7"/>
      <c r="F12" s="8"/>
      <c r="H12" s="138"/>
      <c r="I12" s="138"/>
      <c r="J12" s="138"/>
      <c r="K12" s="138"/>
      <c r="L12" s="138"/>
      <c r="M12" s="138"/>
      <c r="N12" s="8"/>
      <c r="O12" s="146"/>
      <c r="P12" s="146"/>
    </row>
    <row r="13" ht="15.75" customHeight="1">
      <c r="E13" s="22" t="s">
        <v>21</v>
      </c>
      <c r="F13" s="23"/>
      <c r="H13" s="157">
        <v>26.941</v>
      </c>
      <c r="I13" s="149" t="str">
        <f t="shared" ref="I13:M13" si="5">I14*I4</f>
        <v>16.9</v>
      </c>
      <c r="J13" s="149" t="str">
        <f t="shared" si="5"/>
        <v>16.6</v>
      </c>
      <c r="K13" s="149" t="str">
        <f t="shared" si="5"/>
        <v>16.3</v>
      </c>
      <c r="L13" s="149" t="str">
        <f t="shared" si="5"/>
        <v>16.0</v>
      </c>
      <c r="M13" s="149" t="str">
        <f t="shared" si="5"/>
        <v>15.9</v>
      </c>
      <c r="N13" s="33"/>
      <c r="O13" s="150" t="s">
        <v>79</v>
      </c>
      <c r="P13" t="s">
        <v>80</v>
      </c>
    </row>
    <row r="14" ht="15.75" customHeight="1">
      <c r="E14" s="26" t="s">
        <v>22</v>
      </c>
      <c r="F14" s="27"/>
      <c r="G14" s="151"/>
      <c r="H14" s="158" t="str">
        <f>H13/H4</f>
        <v>18.5%</v>
      </c>
      <c r="I14" s="158">
        <v>0.12</v>
      </c>
      <c r="J14" s="158">
        <v>0.115</v>
      </c>
      <c r="K14" s="158">
        <v>0.11</v>
      </c>
      <c r="L14" s="158">
        <v>0.105</v>
      </c>
      <c r="M14" s="158">
        <v>0.1</v>
      </c>
      <c r="N14" s="153"/>
      <c r="O14" s="146"/>
      <c r="P14" t="s">
        <v>81</v>
      </c>
    </row>
    <row r="15" ht="15.75" customHeight="1">
      <c r="E15" s="7"/>
      <c r="F15" s="8"/>
      <c r="H15" s="147"/>
      <c r="I15" s="147"/>
      <c r="J15" s="138"/>
      <c r="K15" s="138"/>
      <c r="L15" s="138"/>
      <c r="M15" s="138"/>
      <c r="N15" s="8"/>
      <c r="O15" s="146"/>
      <c r="P15" s="146"/>
    </row>
    <row r="16" ht="15.75" customHeight="1">
      <c r="E16" s="22" t="s">
        <v>25</v>
      </c>
      <c r="F16" s="23"/>
      <c r="H16" s="148">
        <v>8.665</v>
      </c>
      <c r="I16" s="149" t="str">
        <f t="shared" ref="I16:M16" si="6">I17*I4</f>
        <v>9.9</v>
      </c>
      <c r="J16" s="149" t="str">
        <f t="shared" si="6"/>
        <v>7.9</v>
      </c>
      <c r="K16" s="149" t="str">
        <f t="shared" si="6"/>
        <v>8.2</v>
      </c>
      <c r="L16" s="149" t="str">
        <f t="shared" si="6"/>
        <v>8.7</v>
      </c>
      <c r="M16" s="149" t="str">
        <f t="shared" si="6"/>
        <v>9.5</v>
      </c>
      <c r="N16" s="33"/>
      <c r="O16" s="150" t="s">
        <v>82</v>
      </c>
      <c r="P16" t="s">
        <v>83</v>
      </c>
    </row>
    <row r="17" ht="15.75" customHeight="1">
      <c r="E17" s="26" t="s">
        <v>22</v>
      </c>
      <c r="F17" s="27"/>
      <c r="G17" s="151"/>
      <c r="H17" s="154">
        <v>0.065</v>
      </c>
      <c r="I17" s="154">
        <v>0.07</v>
      </c>
      <c r="J17" s="155">
        <v>0.055</v>
      </c>
      <c r="K17" s="155">
        <v>0.055</v>
      </c>
      <c r="L17" s="155">
        <v>0.057</v>
      </c>
      <c r="M17" s="155">
        <v>0.06</v>
      </c>
      <c r="N17" s="156"/>
      <c r="O17" s="146"/>
      <c r="P17" t="s">
        <v>84</v>
      </c>
    </row>
    <row r="18" ht="15.75" customHeight="1">
      <c r="E18" s="7"/>
      <c r="F18" s="8"/>
      <c r="H18" s="138"/>
      <c r="I18" s="138"/>
      <c r="J18" s="138"/>
      <c r="K18" s="138"/>
      <c r="L18" s="138"/>
      <c r="M18" s="138"/>
      <c r="N18" s="8"/>
    </row>
    <row r="19" ht="15.75" customHeight="1">
      <c r="E19" s="22" t="s">
        <v>28</v>
      </c>
      <c r="F19" s="40"/>
      <c r="G19" s="41"/>
      <c r="H19" s="159">
        <v>163.243</v>
      </c>
      <c r="I19" s="159" t="str">
        <f t="shared" ref="I19:M19" si="7">H19+I16-I10</f>
        <v>163.6</v>
      </c>
      <c r="J19" s="159" t="str">
        <f t="shared" si="7"/>
        <v>162.1</v>
      </c>
      <c r="K19" s="159" t="str">
        <f t="shared" si="7"/>
        <v>160.6</v>
      </c>
      <c r="L19" s="159" t="str">
        <f t="shared" si="7"/>
        <v>159.4</v>
      </c>
      <c r="M19" s="159" t="str">
        <f t="shared" si="7"/>
        <v>158.8</v>
      </c>
      <c r="N19" s="42"/>
      <c r="O19" s="160" t="s">
        <v>85</v>
      </c>
      <c r="P19" t="s">
        <v>86</v>
      </c>
    </row>
    <row r="20" ht="15.75" customHeight="1">
      <c r="P20" t="s">
        <v>87</v>
      </c>
    </row>
    <row r="21" ht="15.75" customHeight="1">
      <c r="I21" s="128"/>
    </row>
    <row r="22" ht="15.75" customHeight="1">
      <c r="A22" s="146"/>
      <c r="B22" s="146"/>
      <c r="C22" s="146"/>
      <c r="D22" s="146"/>
      <c r="E22" s="8"/>
      <c r="F22" s="8"/>
      <c r="G22" s="8"/>
      <c r="H22" s="8"/>
      <c r="I22" s="8"/>
      <c r="J22" s="8"/>
      <c r="K22" s="8"/>
      <c r="L22" s="7"/>
      <c r="M22" s="7"/>
      <c r="N22" s="7"/>
      <c r="O22" s="7"/>
      <c r="P22" s="7"/>
    </row>
    <row r="23" ht="15.75" customHeight="1">
      <c r="A23" s="146"/>
      <c r="B23" s="161"/>
      <c r="C23" s="162"/>
      <c r="D23" s="163"/>
      <c r="E23" s="46"/>
      <c r="F23" s="47"/>
      <c r="G23" s="47"/>
      <c r="H23" s="47"/>
      <c r="I23" s="47"/>
      <c r="J23" s="47"/>
      <c r="K23" s="47"/>
      <c r="L23" s="47"/>
      <c r="M23" s="47"/>
      <c r="N23" s="47"/>
      <c r="O23" s="48"/>
      <c r="P23" s="7"/>
    </row>
    <row r="24" ht="15.75" customHeight="1">
      <c r="A24" s="146"/>
      <c r="B24" s="164" t="s">
        <v>29</v>
      </c>
      <c r="C24" s="165"/>
      <c r="D24" s="166"/>
      <c r="E24" s="52"/>
      <c r="F24" s="53"/>
      <c r="G24" s="53"/>
      <c r="H24" s="53"/>
      <c r="I24" s="53"/>
      <c r="J24" s="53"/>
      <c r="K24" s="53"/>
      <c r="L24" s="53"/>
      <c r="M24" s="53"/>
      <c r="N24" s="53"/>
      <c r="O24" s="54"/>
      <c r="P24" s="7"/>
    </row>
    <row r="25" ht="15.75" customHeight="1">
      <c r="A25" s="146"/>
      <c r="B25" s="167"/>
      <c r="C25" s="168"/>
      <c r="D25" s="169"/>
      <c r="E25" s="58"/>
      <c r="F25" s="8"/>
      <c r="G25" s="8"/>
      <c r="H25" s="8"/>
      <c r="I25" s="8"/>
      <c r="J25" s="8"/>
      <c r="K25" s="8"/>
      <c r="L25" s="8"/>
      <c r="M25" s="8"/>
      <c r="N25" s="8"/>
      <c r="O25" s="8"/>
      <c r="P25" s="7"/>
    </row>
    <row r="26" ht="15.75" customHeight="1">
      <c r="A26" s="146"/>
      <c r="B26" s="170"/>
      <c r="C26" s="171"/>
      <c r="D26" s="169"/>
      <c r="E26" s="58"/>
      <c r="F26" s="8"/>
      <c r="G26" s="8"/>
      <c r="H26" s="8"/>
      <c r="I26" s="1">
        <v>1.0</v>
      </c>
      <c r="J26" s="1" t="str">
        <f t="shared" ref="J26:M26" si="8">+I26+1</f>
        <v>2</v>
      </c>
      <c r="K26" s="1" t="str">
        <f t="shared" si="8"/>
        <v>3</v>
      </c>
      <c r="L26" s="1" t="str">
        <f t="shared" si="8"/>
        <v>4</v>
      </c>
      <c r="M26" s="1" t="str">
        <f t="shared" si="8"/>
        <v>5</v>
      </c>
      <c r="O26" s="59" t="str">
        <f>+M26</f>
        <v>5</v>
      </c>
      <c r="P26" s="7"/>
    </row>
    <row r="27" ht="15.75" customHeight="1">
      <c r="A27" s="146"/>
      <c r="B27" s="172" t="s">
        <v>30</v>
      </c>
      <c r="C27" s="173"/>
      <c r="D27" s="174"/>
      <c r="E27" s="172"/>
      <c r="F27" s="175"/>
      <c r="G27" s="176"/>
      <c r="H27" s="177" t="s">
        <v>1</v>
      </c>
      <c r="I27" s="177" t="s">
        <v>88</v>
      </c>
      <c r="J27" s="178" t="s">
        <v>3</v>
      </c>
      <c r="K27" s="178" t="s">
        <v>4</v>
      </c>
      <c r="L27" s="178" t="s">
        <v>5</v>
      </c>
      <c r="M27" s="178" t="s">
        <v>6</v>
      </c>
      <c r="N27" s="178"/>
      <c r="O27" s="179" t="s">
        <v>31</v>
      </c>
      <c r="P27" s="7"/>
    </row>
    <row r="28" ht="15.75" customHeight="1">
      <c r="A28" s="146"/>
      <c r="B28" s="170"/>
      <c r="C28" s="171"/>
      <c r="D28" s="174"/>
      <c r="E28" s="180" t="s">
        <v>32</v>
      </c>
      <c r="F28" s="171"/>
      <c r="G28" s="171"/>
      <c r="H28" s="181" t="str">
        <f t="shared" ref="H28:M28" si="9">H7</f>
        <v> 21.51 </v>
      </c>
      <c r="I28" s="181" t="str">
        <f t="shared" si="9"/>
        <v> 19.77 </v>
      </c>
      <c r="J28" s="181" t="str">
        <f t="shared" si="9"/>
        <v> 20.89 </v>
      </c>
      <c r="K28" s="181" t="str">
        <f t="shared" si="9"/>
        <v> 22.26 </v>
      </c>
      <c r="L28" s="181" t="str">
        <f t="shared" si="9"/>
        <v> 23.69 </v>
      </c>
      <c r="M28" s="181" t="str">
        <f t="shared" si="9"/>
        <v> 25.43 </v>
      </c>
      <c r="N28" s="181"/>
      <c r="O28" s="182"/>
      <c r="P28" s="7"/>
    </row>
    <row r="29" ht="15.75" customHeight="1">
      <c r="A29" s="146"/>
      <c r="B29" s="170"/>
      <c r="C29" s="171"/>
      <c r="D29" s="146"/>
      <c r="E29" s="180" t="s">
        <v>33</v>
      </c>
      <c r="F29" s="171"/>
      <c r="G29" s="171"/>
      <c r="H29" s="183" t="str">
        <f t="shared" ref="H29:M29" si="10">-H10</f>
        <v>(6.77)</v>
      </c>
      <c r="I29" s="183" t="str">
        <f t="shared" si="10"/>
        <v>(9.52)</v>
      </c>
      <c r="J29" s="183" t="str">
        <f t="shared" si="10"/>
        <v>(9.43)</v>
      </c>
      <c r="K29" s="183" t="str">
        <f t="shared" si="10"/>
        <v>(9.70)</v>
      </c>
      <c r="L29" s="183" t="str">
        <f t="shared" si="10"/>
        <v>(9.82)</v>
      </c>
      <c r="M29" s="183" t="str">
        <f t="shared" si="10"/>
        <v>(10.14)</v>
      </c>
      <c r="N29" s="183"/>
      <c r="O29" s="184"/>
      <c r="P29" s="7"/>
    </row>
    <row r="30" ht="15.75" customHeight="1">
      <c r="A30" s="146"/>
      <c r="B30" s="185"/>
      <c r="C30" s="186"/>
      <c r="D30" s="146"/>
      <c r="E30" s="187" t="s">
        <v>34</v>
      </c>
      <c r="F30" s="188"/>
      <c r="G30" s="188"/>
      <c r="H30" s="189" t="str">
        <f t="array" ref="H30:N30">H28:N28+H29:N29</f>
        <v>14.7</v>
      </c>
      <c r="I30" s="189">
        <v>10.249579407</v>
      </c>
      <c r="J30" s="189">
        <v>11.453227569224998</v>
      </c>
      <c r="K30" s="189">
        <v>12.551248351763594</v>
      </c>
      <c r="L30" s="189">
        <v>13.870416255210754</v>
      </c>
      <c r="M30" s="189">
        <v>15.290940242572754</v>
      </c>
      <c r="N30" s="189">
        <v>0.0</v>
      </c>
      <c r="O30" s="184"/>
      <c r="P30" s="7"/>
    </row>
    <row r="31" ht="15.75" customHeight="1">
      <c r="A31" s="146"/>
      <c r="B31" s="170" t="s">
        <v>35</v>
      </c>
      <c r="C31" s="74">
        <v>0.0305</v>
      </c>
      <c r="D31" s="146"/>
      <c r="E31" s="180" t="s">
        <v>36</v>
      </c>
      <c r="F31" s="171"/>
      <c r="G31" s="169">
        <v>0.15</v>
      </c>
      <c r="H31" s="190" t="str">
        <f t="array" ref="H31:N31">-H30:N30*G31</f>
        <v>(2.2)</v>
      </c>
      <c r="I31" s="191">
        <v>-1.5374369110500001</v>
      </c>
      <c r="J31" s="192">
        <v>-1.7179841353837497</v>
      </c>
      <c r="K31" s="192">
        <v>-1.8826872527645389</v>
      </c>
      <c r="L31" s="192">
        <v>-2.0805624382816132</v>
      </c>
      <c r="M31" s="192">
        <v>-2.293641036385913</v>
      </c>
      <c r="N31" s="192">
        <v>0.0</v>
      </c>
      <c r="O31" s="182"/>
      <c r="P31" s="7"/>
    </row>
    <row r="32" ht="15.75" customHeight="1">
      <c r="A32" s="146"/>
      <c r="B32" s="170" t="s">
        <v>37</v>
      </c>
      <c r="C32" s="77">
        <v>0.0418</v>
      </c>
      <c r="D32" s="146"/>
      <c r="E32" s="180" t="s">
        <v>38</v>
      </c>
      <c r="F32" s="171"/>
      <c r="G32" s="171"/>
      <c r="H32" s="190" t="str">
        <f t="array" ref="H32:N32">H10:N10</f>
        <v>6.8</v>
      </c>
      <c r="I32" s="190">
        <v>9.522085793</v>
      </c>
      <c r="J32" s="192">
        <v>9.434124452775</v>
      </c>
      <c r="K32" s="192">
        <v>9.704585354436407</v>
      </c>
      <c r="L32" s="192">
        <v>9.817209419421447</v>
      </c>
      <c r="M32" s="192">
        <v>10.138872094580785</v>
      </c>
      <c r="N32" s="192"/>
      <c r="O32" s="182"/>
      <c r="P32" s="7"/>
    </row>
    <row r="33" ht="15.75" customHeight="1">
      <c r="A33" s="146"/>
      <c r="B33" s="170" t="s">
        <v>89</v>
      </c>
      <c r="C33" s="78">
        <v>0.0099</v>
      </c>
      <c r="D33" s="146"/>
      <c r="E33" s="180" t="s">
        <v>40</v>
      </c>
      <c r="F33" s="171"/>
      <c r="G33" s="171"/>
      <c r="H33" s="190"/>
      <c r="I33" s="190" t="str">
        <f t="shared" ref="I33:M33" si="11">-H13+I13</f>
        <v>(10.0)</v>
      </c>
      <c r="J33" s="190" t="str">
        <f t="shared" si="11"/>
        <v>(0.4)</v>
      </c>
      <c r="K33" s="190" t="str">
        <f t="shared" si="11"/>
        <v>(0.2)</v>
      </c>
      <c r="L33" s="190" t="str">
        <f t="shared" si="11"/>
        <v>(0.3)</v>
      </c>
      <c r="M33" s="190" t="str">
        <f t="shared" si="11"/>
        <v>(0.2)</v>
      </c>
      <c r="N33" s="190"/>
      <c r="O33" s="182"/>
      <c r="P33" s="7"/>
    </row>
    <row r="34" ht="15.75" customHeight="1">
      <c r="A34" s="146"/>
      <c r="B34" s="170" t="s">
        <v>90</v>
      </c>
      <c r="C34" s="79">
        <v>0.2806</v>
      </c>
      <c r="D34" s="146"/>
      <c r="E34" s="193" t="s">
        <v>42</v>
      </c>
      <c r="F34" s="194"/>
      <c r="G34" s="194"/>
      <c r="H34" s="195"/>
      <c r="I34" s="195" t="str">
        <f t="shared" ref="I34:M34" si="12">+I30+I31+I32+I33</f>
        <v>8.2</v>
      </c>
      <c r="J34" s="195" t="str">
        <f t="shared" si="12"/>
        <v>18.8</v>
      </c>
      <c r="K34" s="195" t="str">
        <f t="shared" si="12"/>
        <v>20.1</v>
      </c>
      <c r="L34" s="195" t="str">
        <f t="shared" si="12"/>
        <v>21.3</v>
      </c>
      <c r="M34" s="195" t="str">
        <f t="shared" si="12"/>
        <v>23.0</v>
      </c>
      <c r="N34" s="195"/>
      <c r="O34" s="182"/>
      <c r="P34" s="7"/>
    </row>
    <row r="35" ht="15.75" customHeight="1">
      <c r="A35" s="146"/>
      <c r="B35" s="170" t="s">
        <v>43</v>
      </c>
      <c r="C35" s="83">
        <v>0.7194</v>
      </c>
      <c r="D35" s="146"/>
      <c r="E35" s="196" t="s">
        <v>44</v>
      </c>
      <c r="F35" s="197"/>
      <c r="G35" s="197"/>
      <c r="H35" s="198"/>
      <c r="I35" s="198" t="str">
        <f t="shared" ref="I35:M35" si="13">I34/I28</f>
        <v>41.7%</v>
      </c>
      <c r="J35" s="198" t="str">
        <f t="shared" si="13"/>
        <v>89.9%</v>
      </c>
      <c r="K35" s="198" t="str">
        <f t="shared" si="13"/>
        <v>90.4%</v>
      </c>
      <c r="L35" s="198" t="str">
        <f t="shared" si="13"/>
        <v>90.1%</v>
      </c>
      <c r="M35" s="198" t="str">
        <f t="shared" si="13"/>
        <v>90.4%</v>
      </c>
      <c r="N35" s="198"/>
      <c r="O35" s="182"/>
      <c r="P35" s="7"/>
    </row>
    <row r="36" ht="15.75" customHeight="1">
      <c r="A36" s="146"/>
      <c r="B36" s="170" t="s">
        <v>45</v>
      </c>
      <c r="C36" s="87">
        <v>0.39</v>
      </c>
      <c r="D36" s="146"/>
      <c r="E36" s="170"/>
      <c r="F36" s="171"/>
      <c r="G36" s="171"/>
      <c r="H36" s="171"/>
      <c r="I36" s="171"/>
      <c r="J36" s="171"/>
      <c r="K36" s="171"/>
      <c r="L36" s="171"/>
      <c r="M36" s="171"/>
      <c r="N36" s="171"/>
      <c r="O36" s="182"/>
      <c r="P36" s="7"/>
    </row>
    <row r="37" ht="15.75" customHeight="1">
      <c r="A37" s="146"/>
      <c r="B37" s="170"/>
      <c r="C37" s="88"/>
      <c r="D37" s="146"/>
      <c r="E37" s="180" t="s">
        <v>46</v>
      </c>
      <c r="F37" s="171"/>
      <c r="G37" s="171"/>
      <c r="H37" s="199" t="str">
        <f t="array" ref="H37:N37">-H16:N16</f>
        <v>(8.67)</v>
      </c>
      <c r="I37" s="200">
        <v>-9.8858326</v>
      </c>
      <c r="J37" s="192">
        <v>-7.922788698</v>
      </c>
      <c r="K37" s="192">
        <v>-8.16047235894</v>
      </c>
      <c r="L37" s="192">
        <v>-8.71093331260668</v>
      </c>
      <c r="M37" s="192">
        <v>-9.536179626432578</v>
      </c>
      <c r="N37" s="192">
        <v>0.0</v>
      </c>
      <c r="O37" s="182"/>
      <c r="P37" s="7"/>
    </row>
    <row r="38" ht="15.75" customHeight="1">
      <c r="A38" s="146"/>
      <c r="B38" s="170" t="s">
        <v>47</v>
      </c>
      <c r="C38" s="90">
        <v>0.99</v>
      </c>
      <c r="D38" s="146"/>
      <c r="E38" s="193" t="s">
        <v>48</v>
      </c>
      <c r="F38" s="194"/>
      <c r="G38" s="194"/>
      <c r="H38" s="195"/>
      <c r="I38" s="195" t="str">
        <f t="shared" ref="I38:M38" si="14">I34+I37</f>
        <v>(1.6)</v>
      </c>
      <c r="J38" s="195" t="str">
        <f t="shared" si="14"/>
        <v>10.9</v>
      </c>
      <c r="K38" s="195" t="str">
        <f t="shared" si="14"/>
        <v>12.0</v>
      </c>
      <c r="L38" s="195" t="str">
        <f t="shared" si="14"/>
        <v>12.6</v>
      </c>
      <c r="M38" s="195" t="str">
        <f t="shared" si="14"/>
        <v>13.4</v>
      </c>
      <c r="N38" s="195"/>
      <c r="O38" s="201"/>
      <c r="P38" s="7"/>
    </row>
    <row r="39" ht="15.75" customHeight="1">
      <c r="A39" s="146"/>
      <c r="B39" s="170"/>
      <c r="C39" s="174"/>
      <c r="D39" s="146"/>
      <c r="E39" s="196" t="s">
        <v>44</v>
      </c>
      <c r="F39" s="197"/>
      <c r="G39" s="197"/>
      <c r="H39" s="198"/>
      <c r="I39" s="198" t="str">
        <f t="shared" ref="I39:M39" si="15">I38/I28</f>
        <v>(8.3%)</v>
      </c>
      <c r="J39" s="198" t="str">
        <f t="shared" si="15"/>
        <v>52.0%</v>
      </c>
      <c r="K39" s="198" t="str">
        <f t="shared" si="15"/>
        <v>53.8%</v>
      </c>
      <c r="L39" s="198" t="str">
        <f t="shared" si="15"/>
        <v>53.3%</v>
      </c>
      <c r="M39" s="198" t="str">
        <f t="shared" si="15"/>
        <v>52.9%</v>
      </c>
      <c r="N39" s="198"/>
      <c r="O39" s="201"/>
      <c r="P39" s="7"/>
    </row>
    <row r="40" ht="15.75" customHeight="1">
      <c r="A40" s="146"/>
      <c r="B40" s="202" t="s">
        <v>49</v>
      </c>
      <c r="C40" s="203" t="str">
        <f>C31+C38*C32</f>
        <v>7.2%</v>
      </c>
      <c r="D40" s="146"/>
      <c r="E40" s="170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7"/>
    </row>
    <row r="41" ht="15.75" customHeight="1">
      <c r="A41" s="146"/>
      <c r="B41" s="170"/>
      <c r="C41" s="171"/>
      <c r="D41" s="146"/>
      <c r="E41" s="204" t="s">
        <v>51</v>
      </c>
      <c r="F41" s="205"/>
      <c r="G41" s="206"/>
      <c r="H41" s="207"/>
      <c r="I41" s="208" t="str">
        <f t="shared" ref="I41:M41" si="16">I38/(1+$C46)^I26</f>
        <v>(1.6)</v>
      </c>
      <c r="J41" s="208" t="str">
        <f t="shared" si="16"/>
        <v>9.6</v>
      </c>
      <c r="K41" s="208" t="str">
        <f t="shared" si="16"/>
        <v>10.0</v>
      </c>
      <c r="L41" s="208" t="str">
        <f t="shared" si="16"/>
        <v>10.0</v>
      </c>
      <c r="M41" s="208" t="str">
        <f t="shared" si="16"/>
        <v>10.0</v>
      </c>
      <c r="N41" s="208"/>
      <c r="O41" s="171"/>
      <c r="P41" s="7"/>
    </row>
    <row r="42" ht="15.75" customHeight="1">
      <c r="A42" s="146"/>
      <c r="B42" s="209" t="s">
        <v>50</v>
      </c>
      <c r="C42" s="210">
        <v>0.039539</v>
      </c>
      <c r="D42" s="146"/>
      <c r="E42" s="211" t="s">
        <v>53</v>
      </c>
      <c r="F42" s="205"/>
      <c r="G42" s="206"/>
      <c r="H42" s="212"/>
      <c r="I42" s="212"/>
      <c r="J42" s="213"/>
      <c r="K42" s="213"/>
      <c r="L42" s="213"/>
      <c r="M42" s="213"/>
      <c r="N42" s="213"/>
      <c r="O42" s="214" t="str">
        <f>C51/(1+C46)^O26</f>
        <v>151.4</v>
      </c>
      <c r="P42" s="7"/>
    </row>
    <row r="43" ht="15.75" customHeight="1">
      <c r="A43" s="146"/>
      <c r="B43" s="170"/>
      <c r="C43" s="174"/>
      <c r="D43" s="146"/>
      <c r="E43" s="215" t="s">
        <v>54</v>
      </c>
      <c r="F43" s="216"/>
      <c r="G43" s="217" t="str">
        <f>J41+K41+L41+M41+I41+O42</f>
        <v>189.5</v>
      </c>
      <c r="H43" s="171"/>
      <c r="I43" s="171"/>
      <c r="J43" s="171"/>
      <c r="K43" s="218"/>
      <c r="L43" s="171"/>
      <c r="M43" s="171"/>
      <c r="N43" s="171"/>
      <c r="O43" s="171"/>
      <c r="P43" s="7"/>
    </row>
    <row r="44" ht="15.75" customHeight="1">
      <c r="A44" s="146"/>
      <c r="B44" s="170" t="s">
        <v>52</v>
      </c>
      <c r="C44" s="169">
        <v>0.15</v>
      </c>
      <c r="D44" s="146"/>
      <c r="E44" s="211" t="s">
        <v>55</v>
      </c>
      <c r="F44" s="212"/>
      <c r="G44" s="200">
        <v>69.836</v>
      </c>
      <c r="H44" s="171"/>
      <c r="I44" s="171"/>
      <c r="J44" s="171"/>
      <c r="K44" s="192"/>
      <c r="L44" s="171"/>
      <c r="M44" s="171"/>
      <c r="N44" s="171"/>
      <c r="O44" s="171"/>
      <c r="P44" s="7"/>
    </row>
    <row r="45" ht="15.75" customHeight="1">
      <c r="A45" s="146"/>
      <c r="B45" s="219" t="s">
        <v>91</v>
      </c>
      <c r="C45" s="220"/>
      <c r="D45" s="146"/>
      <c r="E45" s="215" t="s">
        <v>57</v>
      </c>
      <c r="F45" s="216"/>
      <c r="G45" s="217" t="str">
        <f>G43-G44</f>
        <v>119.7</v>
      </c>
      <c r="H45" s="221"/>
      <c r="I45" s="221"/>
      <c r="J45" s="221"/>
      <c r="K45" s="222"/>
      <c r="L45" s="221"/>
      <c r="M45" s="221"/>
      <c r="N45" s="221"/>
      <c r="O45" s="171"/>
      <c r="P45" s="7"/>
    </row>
    <row r="46" ht="15.75" customHeight="1">
      <c r="A46" s="146"/>
      <c r="B46" s="223" t="s">
        <v>92</v>
      </c>
      <c r="C46" s="224" t="str">
        <f>C40*C35+C42*C34*(1-C44)</f>
        <v>6.11%</v>
      </c>
      <c r="D46" s="146"/>
      <c r="E46" s="170"/>
      <c r="F46" s="171"/>
      <c r="G46" s="171"/>
      <c r="H46" s="171"/>
      <c r="I46" s="171"/>
      <c r="J46" s="171"/>
      <c r="K46" s="171"/>
      <c r="L46" s="171"/>
      <c r="M46" s="192"/>
      <c r="N46" s="171"/>
      <c r="O46" s="171"/>
      <c r="P46" s="7"/>
    </row>
    <row r="47" ht="15.75" customHeight="1">
      <c r="A47" s="146"/>
      <c r="B47" s="170" t="s">
        <v>93</v>
      </c>
      <c r="C47" s="78">
        <v>0.0376</v>
      </c>
      <c r="D47" s="146"/>
      <c r="E47" s="225" t="s">
        <v>58</v>
      </c>
      <c r="F47" s="226" t="s">
        <v>12</v>
      </c>
      <c r="G47" s="226" t="s">
        <v>59</v>
      </c>
      <c r="H47" s="171"/>
      <c r="I47" s="171"/>
      <c r="J47" s="171"/>
      <c r="K47" s="171"/>
      <c r="L47" s="171"/>
      <c r="M47" s="171"/>
      <c r="N47" s="171"/>
      <c r="O47" s="171"/>
      <c r="P47" s="7"/>
    </row>
    <row r="48" ht="15.75" customHeight="1">
      <c r="A48" s="146"/>
      <c r="B48" s="209" t="s">
        <v>60</v>
      </c>
      <c r="C48" s="227"/>
      <c r="D48" s="146"/>
      <c r="E48" s="170" t="s">
        <v>61</v>
      </c>
      <c r="F48" s="192" t="str">
        <f>+I28</f>
        <v>19.8</v>
      </c>
      <c r="G48" s="228" t="str">
        <f>+G43/F48</f>
        <v>9.6x</v>
      </c>
      <c r="H48" s="171"/>
      <c r="I48" s="171"/>
      <c r="J48" s="171"/>
      <c r="K48" s="171"/>
      <c r="L48" s="171"/>
      <c r="M48" s="171"/>
      <c r="N48" s="171"/>
      <c r="O48" s="171"/>
      <c r="P48" s="7"/>
    </row>
    <row r="49" ht="15.75" customHeight="1">
      <c r="A49" s="146"/>
      <c r="B49" s="170" t="s">
        <v>62</v>
      </c>
      <c r="C49" s="174">
        <v>0.011</v>
      </c>
      <c r="D49" s="146"/>
      <c r="E49" s="229" t="s">
        <v>63</v>
      </c>
      <c r="F49" s="192" t="str">
        <f>J7</f>
        <v>20.9</v>
      </c>
      <c r="G49" s="228" t="str">
        <f>G43/F49</f>
        <v>9.1x</v>
      </c>
      <c r="H49" s="171"/>
      <c r="I49" s="171"/>
      <c r="J49" s="171"/>
      <c r="K49" s="171"/>
      <c r="L49" s="171"/>
      <c r="M49" s="171"/>
      <c r="N49" s="230"/>
      <c r="O49" s="171"/>
      <c r="P49" s="7"/>
    </row>
    <row r="50" ht="15.75" customHeight="1">
      <c r="A50" s="146"/>
      <c r="B50" s="170" t="s">
        <v>64</v>
      </c>
      <c r="C50" s="231" t="str">
        <f>M41*(1+C49)</f>
        <v>10.1</v>
      </c>
      <c r="D50" s="146"/>
      <c r="E50" s="229" t="s">
        <v>65</v>
      </c>
      <c r="F50" s="192" t="str">
        <f>K7</f>
        <v>22.3</v>
      </c>
      <c r="G50" s="228" t="str">
        <f>$G43/F50</f>
        <v>8.5x</v>
      </c>
      <c r="H50" s="171"/>
      <c r="I50" s="171"/>
      <c r="J50" s="232"/>
      <c r="K50" s="171"/>
      <c r="L50" s="171"/>
      <c r="M50" s="171"/>
      <c r="N50" s="171"/>
      <c r="O50" s="171"/>
      <c r="P50" s="7"/>
    </row>
    <row r="51" ht="15.75" customHeight="1">
      <c r="A51" s="146"/>
      <c r="B51" s="223" t="s">
        <v>31</v>
      </c>
      <c r="C51" s="233" t="str">
        <f>+(C50*(1+C49))/(C46-C49)</f>
        <v>203.7</v>
      </c>
      <c r="D51" s="146"/>
      <c r="E51" s="229" t="s">
        <v>66</v>
      </c>
      <c r="F51" s="192" t="str">
        <f>L7</f>
        <v>23.7</v>
      </c>
      <c r="G51" s="228" t="str">
        <f>G43/F51</f>
        <v>8.0x</v>
      </c>
      <c r="H51" s="171"/>
      <c r="I51" s="171"/>
      <c r="J51" s="222"/>
      <c r="K51" s="222"/>
      <c r="L51" s="222"/>
      <c r="M51" s="222"/>
      <c r="N51" s="222"/>
      <c r="O51" s="222"/>
      <c r="P51" s="7"/>
    </row>
    <row r="52" ht="15.75" customHeight="1">
      <c r="A52" s="146"/>
      <c r="D52" s="146"/>
      <c r="E52" s="229" t="s">
        <v>67</v>
      </c>
      <c r="F52" s="192" t="str">
        <f>M7</f>
        <v>25.4</v>
      </c>
      <c r="G52" s="234" t="str">
        <f>G43/F52</f>
        <v>7.5x</v>
      </c>
      <c r="H52" s="170"/>
      <c r="I52" s="171"/>
      <c r="J52" s="222"/>
      <c r="K52" s="222"/>
      <c r="L52" s="222"/>
      <c r="M52" s="222"/>
      <c r="N52" s="222"/>
      <c r="O52" s="222"/>
      <c r="P52" s="7"/>
    </row>
    <row r="53" ht="15.75" customHeight="1">
      <c r="A53" s="146"/>
      <c r="B53" s="146"/>
      <c r="C53" s="146"/>
      <c r="D53" s="146"/>
      <c r="E53" s="93"/>
      <c r="F53" s="33"/>
      <c r="G53" s="117"/>
      <c r="H53" s="58"/>
      <c r="I53" s="8"/>
    </row>
    <row r="54" ht="15.75" customHeight="1">
      <c r="B54" t="s">
        <v>94</v>
      </c>
      <c r="H54" s="58"/>
      <c r="I54" s="8"/>
    </row>
    <row r="55" ht="15.75" customHeight="1">
      <c r="H55" s="58"/>
      <c r="I55" s="8"/>
    </row>
    <row r="56" ht="15.75" customHeight="1">
      <c r="H56" s="58"/>
      <c r="I56" s="58"/>
    </row>
    <row r="57" ht="15.75" customHeight="1">
      <c r="H57" s="235"/>
      <c r="I57" s="8"/>
    </row>
    <row r="58" ht="15.75" customHeight="1">
      <c r="H58" s="58"/>
      <c r="I58" s="8"/>
    </row>
    <row r="59" ht="15.75" customHeight="1">
      <c r="H59" s="84"/>
      <c r="I59" s="85"/>
    </row>
    <row r="60" ht="15.75" customHeight="1">
      <c r="H60" s="58"/>
      <c r="I60" s="122"/>
    </row>
    <row r="61" ht="15.75" customHeight="1">
      <c r="H61" s="58"/>
      <c r="I61" s="122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11.5"/>
    <col customWidth="1" min="4" max="5" width="10.63"/>
    <col customWidth="1" min="6" max="6" width="11.0"/>
    <col customWidth="1" min="7" max="7" width="13.63"/>
    <col customWidth="1" min="8" max="8" width="12.0"/>
    <col customWidth="1" min="9" max="9" width="12.88"/>
    <col customWidth="1" min="10" max="10" width="13.5"/>
    <col customWidth="1" min="11" max="11" width="13.13"/>
    <col customWidth="1" min="12" max="12" width="14.63"/>
    <col customWidth="1" min="13" max="13" width="12.13"/>
    <col customWidth="1" min="14" max="14" width="11.0"/>
    <col customWidth="1" min="15" max="15" width="11.63"/>
    <col customWidth="1" min="16" max="17" width="10.63"/>
  </cols>
  <sheetData>
    <row r="1" ht="15.75" customHeight="1">
      <c r="I1" s="1">
        <v>1.0</v>
      </c>
      <c r="J1" s="1" t="str">
        <f t="shared" ref="J1:M1" si="1">+I1+1</f>
        <v>2</v>
      </c>
      <c r="K1" s="1" t="str">
        <f t="shared" si="1"/>
        <v>3</v>
      </c>
      <c r="L1" s="1" t="str">
        <f t="shared" si="1"/>
        <v>4</v>
      </c>
      <c r="M1" s="1" t="str">
        <f t="shared" si="1"/>
        <v>5</v>
      </c>
    </row>
    <row r="2" ht="15.75" customHeight="1">
      <c r="A2" s="146"/>
      <c r="B2" s="146"/>
      <c r="C2" s="146"/>
      <c r="D2" s="146"/>
      <c r="E2" s="2" t="s">
        <v>95</v>
      </c>
      <c r="F2" s="236"/>
      <c r="G2" s="237"/>
      <c r="H2" s="177" t="s">
        <v>1</v>
      </c>
      <c r="I2" s="238" t="s">
        <v>2</v>
      </c>
      <c r="J2" s="178" t="s">
        <v>3</v>
      </c>
      <c r="K2" s="178" t="s">
        <v>4</v>
      </c>
      <c r="L2" s="178" t="s">
        <v>5</v>
      </c>
      <c r="M2" s="239" t="s">
        <v>6</v>
      </c>
      <c r="N2" s="240"/>
      <c r="O2" s="146"/>
      <c r="P2" s="146"/>
    </row>
    <row r="3" ht="15.75" customHeight="1">
      <c r="A3" s="146"/>
      <c r="B3" s="9" t="s">
        <v>96</v>
      </c>
      <c r="C3" s="146"/>
      <c r="D3" s="146"/>
      <c r="E3" s="222"/>
      <c r="F3" s="171"/>
      <c r="G3" s="146"/>
      <c r="H3" s="171"/>
      <c r="I3" s="171"/>
      <c r="J3" s="171"/>
      <c r="K3" s="171"/>
      <c r="L3" s="171"/>
      <c r="M3" s="171"/>
      <c r="N3" s="171"/>
      <c r="O3" s="146"/>
      <c r="P3" s="146"/>
    </row>
    <row r="4" ht="15.75" customHeight="1">
      <c r="A4" s="146"/>
      <c r="B4" s="146"/>
      <c r="C4" s="146"/>
      <c r="D4" s="146"/>
      <c r="E4" s="241" t="str">
        <f>+'[1]Exercise solved'!E11</f>
        <v>#REF!</v>
      </c>
      <c r="F4" s="242"/>
      <c r="G4" s="243"/>
      <c r="H4" s="244">
        <v>777.102455</v>
      </c>
      <c r="I4" s="244" t="str">
        <f t="shared" ref="I4:M4" si="2">H4*(1+I5)</f>
        <v>955.84</v>
      </c>
      <c r="J4" s="244" t="str">
        <f t="shared" si="2"/>
        <v>1108.77</v>
      </c>
      <c r="K4" s="244" t="str">
        <f t="shared" si="2"/>
        <v>1241.82</v>
      </c>
      <c r="L4" s="244" t="str">
        <f t="shared" si="2"/>
        <v>1353.59</v>
      </c>
      <c r="M4" s="244" t="str">
        <f t="shared" si="2"/>
        <v>1448.34</v>
      </c>
      <c r="O4" s="9" t="s">
        <v>97</v>
      </c>
      <c r="P4" t="s">
        <v>98</v>
      </c>
    </row>
    <row r="5" ht="15.75" customHeight="1">
      <c r="A5" s="146"/>
      <c r="B5" s="146"/>
      <c r="C5" s="146"/>
      <c r="D5" s="146"/>
      <c r="E5" s="146" t="s">
        <v>8</v>
      </c>
      <c r="F5" s="245"/>
      <c r="G5" s="146"/>
      <c r="H5" s="246" t="s">
        <v>71</v>
      </c>
      <c r="I5" s="247">
        <v>0.23</v>
      </c>
      <c r="J5" s="247">
        <v>0.16</v>
      </c>
      <c r="K5" s="247">
        <v>0.12</v>
      </c>
      <c r="L5" s="247">
        <v>0.09</v>
      </c>
      <c r="M5" s="247">
        <v>0.07</v>
      </c>
      <c r="N5" s="247"/>
      <c r="O5" s="146"/>
      <c r="P5" t="s">
        <v>99</v>
      </c>
    </row>
    <row r="6" ht="15.75" customHeight="1">
      <c r="A6" s="146"/>
      <c r="B6" s="146"/>
      <c r="C6" s="146"/>
      <c r="D6" s="146"/>
      <c r="E6" s="248"/>
      <c r="F6" s="186"/>
      <c r="G6" s="146"/>
      <c r="H6" s="186"/>
      <c r="I6" s="186"/>
      <c r="J6" s="186"/>
      <c r="K6" s="186"/>
      <c r="L6" s="186"/>
      <c r="M6" s="186"/>
      <c r="N6" s="186"/>
    </row>
    <row r="7" ht="15.75" customHeight="1">
      <c r="A7" s="146"/>
      <c r="B7" s="146"/>
      <c r="C7" s="146"/>
      <c r="D7" s="146"/>
      <c r="E7" s="249" t="s">
        <v>12</v>
      </c>
      <c r="F7" s="250"/>
      <c r="G7" s="146"/>
      <c r="H7" s="90">
        <v>116.853507</v>
      </c>
      <c r="I7" s="251" t="str">
        <f t="shared" ref="I7:M7" si="3">I8*I4</f>
        <v>142.42</v>
      </c>
      <c r="J7" s="251" t="str">
        <f t="shared" si="3"/>
        <v>170.75</v>
      </c>
      <c r="K7" s="251" t="str">
        <f t="shared" si="3"/>
        <v>198.69</v>
      </c>
      <c r="L7" s="251" t="str">
        <f t="shared" si="3"/>
        <v>220.63</v>
      </c>
      <c r="M7" s="251" t="str">
        <f t="shared" si="3"/>
        <v>241.87</v>
      </c>
      <c r="N7" s="252"/>
      <c r="O7" s="150" t="s">
        <v>73</v>
      </c>
      <c r="P7" t="s">
        <v>100</v>
      </c>
    </row>
    <row r="8" ht="15.75" customHeight="1">
      <c r="A8" s="146"/>
      <c r="B8" s="146"/>
      <c r="C8" s="146"/>
      <c r="D8" s="146"/>
      <c r="E8" s="253" t="s">
        <v>13</v>
      </c>
      <c r="F8" s="254"/>
      <c r="G8" s="255"/>
      <c r="H8" s="256" t="str">
        <f>H7/H4</f>
        <v>15.0%</v>
      </c>
      <c r="I8" s="257">
        <v>0.149</v>
      </c>
      <c r="J8" s="258">
        <v>0.154</v>
      </c>
      <c r="K8" s="258">
        <v>0.16</v>
      </c>
      <c r="L8" s="258">
        <v>0.163</v>
      </c>
      <c r="M8" s="258">
        <v>0.167</v>
      </c>
      <c r="N8" s="259"/>
      <c r="O8" s="146"/>
      <c r="P8" t="s">
        <v>101</v>
      </c>
    </row>
    <row r="9" ht="15.75" customHeight="1">
      <c r="A9" s="146"/>
      <c r="B9" s="146"/>
      <c r="C9" s="146"/>
      <c r="D9" s="146"/>
      <c r="E9" s="222"/>
      <c r="F9" s="171"/>
      <c r="G9" s="146"/>
      <c r="H9" s="171"/>
      <c r="I9" s="171"/>
      <c r="J9" s="171"/>
      <c r="K9" s="171"/>
      <c r="L9" s="171"/>
      <c r="M9" s="171"/>
      <c r="N9" s="171"/>
      <c r="O9" s="146"/>
      <c r="P9" s="146"/>
    </row>
    <row r="10" ht="15.75" customHeight="1">
      <c r="A10" s="146"/>
      <c r="B10" s="146"/>
      <c r="C10" s="146"/>
      <c r="D10" s="146"/>
      <c r="E10" s="249" t="s">
        <v>17</v>
      </c>
      <c r="F10" s="250"/>
      <c r="G10" s="146"/>
      <c r="H10" s="260">
        <v>65.079049</v>
      </c>
      <c r="I10" s="261" t="str">
        <f t="shared" ref="I10:M10" si="4">I11*(H19+I16)</f>
        <v>38.01 </v>
      </c>
      <c r="J10" s="261" t="str">
        <f t="shared" si="4"/>
        <v>47.07 </v>
      </c>
      <c r="K10" s="261" t="str">
        <f t="shared" si="4"/>
        <v>55.32 </v>
      </c>
      <c r="L10" s="261" t="str">
        <f t="shared" si="4"/>
        <v>61.40 </v>
      </c>
      <c r="M10" s="261" t="str">
        <f t="shared" si="4"/>
        <v>66.82 </v>
      </c>
      <c r="N10" s="192"/>
      <c r="O10" s="150" t="s">
        <v>76</v>
      </c>
      <c r="P10" t="s">
        <v>102</v>
      </c>
    </row>
    <row r="11" ht="15.75" customHeight="1">
      <c r="A11" s="146"/>
      <c r="B11" s="146"/>
      <c r="C11" s="146"/>
      <c r="D11" s="146"/>
      <c r="E11" s="253" t="s">
        <v>18</v>
      </c>
      <c r="F11" s="254"/>
      <c r="G11" s="255"/>
      <c r="H11" s="262"/>
      <c r="I11" s="257">
        <v>0.065</v>
      </c>
      <c r="J11" s="257">
        <v>0.065</v>
      </c>
      <c r="K11" s="257">
        <v>0.065</v>
      </c>
      <c r="L11" s="257">
        <v>0.065</v>
      </c>
      <c r="M11" s="257">
        <v>0.065</v>
      </c>
      <c r="N11" s="259"/>
      <c r="O11" s="146"/>
      <c r="P11" t="s">
        <v>103</v>
      </c>
    </row>
    <row r="12" ht="15.75" customHeight="1">
      <c r="A12" s="146"/>
      <c r="B12" s="146"/>
      <c r="C12" s="146"/>
      <c r="D12" s="146"/>
      <c r="E12" s="222"/>
      <c r="F12" s="171"/>
      <c r="G12" s="146"/>
      <c r="H12" s="171"/>
      <c r="I12" s="171"/>
      <c r="J12" s="171"/>
      <c r="K12" s="171"/>
      <c r="L12" s="171"/>
      <c r="M12" s="171"/>
      <c r="N12" s="171"/>
      <c r="O12" s="146"/>
      <c r="P12" s="146"/>
    </row>
    <row r="13" ht="15.75" customHeight="1">
      <c r="A13" s="146"/>
      <c r="B13" s="146"/>
      <c r="C13" s="146"/>
      <c r="D13" s="146"/>
      <c r="E13" s="249" t="s">
        <v>21</v>
      </c>
      <c r="F13" s="250"/>
      <c r="G13" s="146"/>
      <c r="H13" s="263">
        <v>-125.412932</v>
      </c>
      <c r="I13" s="263" t="str">
        <f t="shared" ref="I13:M13" si="5">I14*I4</f>
        <v>(148.15)</v>
      </c>
      <c r="J13" s="263" t="str">
        <f t="shared" si="5"/>
        <v>(166.32)</v>
      </c>
      <c r="K13" s="263" t="str">
        <f t="shared" si="5"/>
        <v>(180.06)</v>
      </c>
      <c r="L13" s="263" t="str">
        <f t="shared" si="5"/>
        <v>(189.50)</v>
      </c>
      <c r="M13" s="263" t="str">
        <f t="shared" si="5"/>
        <v>(195.53)</v>
      </c>
      <c r="N13" s="192"/>
      <c r="O13" s="150" t="s">
        <v>79</v>
      </c>
      <c r="P13" t="s">
        <v>104</v>
      </c>
    </row>
    <row r="14" ht="15.75" customHeight="1">
      <c r="A14" s="146"/>
      <c r="B14" s="146"/>
      <c r="C14" s="146"/>
      <c r="D14" s="146"/>
      <c r="E14" s="253" t="s">
        <v>22</v>
      </c>
      <c r="F14" s="254"/>
      <c r="G14" s="255"/>
      <c r="H14" s="257" t="str">
        <f>H13/H4</f>
        <v>(16.1%)</v>
      </c>
      <c r="I14" s="257">
        <v>-0.155</v>
      </c>
      <c r="J14" s="258">
        <v>-0.15</v>
      </c>
      <c r="K14" s="258">
        <v>-0.145</v>
      </c>
      <c r="L14" s="258">
        <v>-0.14</v>
      </c>
      <c r="M14" s="258">
        <v>-0.135</v>
      </c>
      <c r="N14" s="259"/>
      <c r="O14" s="146"/>
      <c r="P14" t="s">
        <v>105</v>
      </c>
    </row>
    <row r="15" ht="15.75" customHeight="1">
      <c r="A15" s="146"/>
      <c r="B15" s="146"/>
      <c r="C15" s="146"/>
      <c r="D15" s="146"/>
      <c r="E15" s="222"/>
      <c r="F15" s="171"/>
      <c r="G15" s="146"/>
      <c r="H15" s="186"/>
      <c r="I15" s="186"/>
      <c r="J15" s="171"/>
      <c r="K15" s="171"/>
      <c r="L15" s="171"/>
      <c r="M15" s="171"/>
      <c r="N15" s="171"/>
      <c r="O15" s="146"/>
      <c r="P15" s="146"/>
    </row>
    <row r="16" ht="15.75" customHeight="1">
      <c r="A16" s="146"/>
      <c r="B16" s="146"/>
      <c r="C16" s="146"/>
      <c r="D16" s="146"/>
      <c r="E16" s="249" t="s">
        <v>25</v>
      </c>
      <c r="F16" s="250"/>
      <c r="G16" s="146"/>
      <c r="H16" s="260">
        <v>97.359768</v>
      </c>
      <c r="I16" s="261" t="str">
        <f t="shared" ref="I16:M16" si="6">I17*I4</f>
        <v>172.05 </v>
      </c>
      <c r="J16" s="261" t="str">
        <f t="shared" si="6"/>
        <v>177.40 </v>
      </c>
      <c r="K16" s="261" t="str">
        <f t="shared" si="6"/>
        <v>173.86 </v>
      </c>
      <c r="L16" s="261" t="str">
        <f t="shared" si="6"/>
        <v>148.89 </v>
      </c>
      <c r="M16" s="261" t="str">
        <f t="shared" si="6"/>
        <v>144.83 </v>
      </c>
      <c r="N16" s="192"/>
      <c r="O16" s="150" t="s">
        <v>82</v>
      </c>
      <c r="P16" t="s">
        <v>106</v>
      </c>
    </row>
    <row r="17" ht="15.75" customHeight="1">
      <c r="A17" s="146"/>
      <c r="B17" s="146"/>
      <c r="C17" s="146"/>
      <c r="D17" s="146"/>
      <c r="E17" s="253" t="s">
        <v>22</v>
      </c>
      <c r="F17" s="254"/>
      <c r="G17" s="255"/>
      <c r="H17" s="262" t="str">
        <f>H16/H4</f>
        <v>12.5%</v>
      </c>
      <c r="I17" s="257">
        <v>0.18</v>
      </c>
      <c r="J17" s="258">
        <v>0.16</v>
      </c>
      <c r="K17" s="258">
        <v>0.14</v>
      </c>
      <c r="L17" s="258">
        <v>0.11</v>
      </c>
      <c r="M17" s="258">
        <v>0.1</v>
      </c>
      <c r="N17" s="259"/>
      <c r="O17" s="146"/>
      <c r="P17" t="s">
        <v>107</v>
      </c>
    </row>
    <row r="18" ht="15.75" customHeight="1">
      <c r="A18" s="146"/>
      <c r="B18" s="146"/>
      <c r="C18" s="146"/>
      <c r="D18" s="146"/>
      <c r="E18" s="222"/>
      <c r="F18" s="171"/>
      <c r="G18" s="146"/>
      <c r="H18" s="171"/>
      <c r="I18" s="171"/>
      <c r="J18" s="171"/>
      <c r="K18" s="171"/>
      <c r="L18" s="171"/>
      <c r="M18" s="171"/>
      <c r="N18" s="171"/>
    </row>
    <row r="19" ht="15.75" customHeight="1">
      <c r="A19" s="146"/>
      <c r="B19" s="146"/>
      <c r="C19" s="146"/>
      <c r="D19" s="146"/>
      <c r="E19" s="249" t="s">
        <v>28</v>
      </c>
      <c r="F19" s="264"/>
      <c r="G19" s="265"/>
      <c r="H19" s="266">
        <v>412.783611</v>
      </c>
      <c r="I19" s="266" t="str">
        <f t="shared" ref="I19:M19" si="7">H19+I16-I10</f>
        <v>546.8 </v>
      </c>
      <c r="J19" s="266" t="str">
        <f t="shared" si="7"/>
        <v>677.1 </v>
      </c>
      <c r="K19" s="266" t="str">
        <f t="shared" si="7"/>
        <v>795.7 </v>
      </c>
      <c r="L19" s="266" t="str">
        <f t="shared" si="7"/>
        <v>883.2 </v>
      </c>
      <c r="M19" s="266" t="str">
        <f t="shared" si="7"/>
        <v>961.2 </v>
      </c>
      <c r="N19" s="267"/>
      <c r="O19" s="160" t="s">
        <v>85</v>
      </c>
      <c r="P19" t="s">
        <v>108</v>
      </c>
    </row>
    <row r="20" ht="15.75" customHeight="1">
      <c r="A20" s="146"/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P20" t="s">
        <v>109</v>
      </c>
    </row>
    <row r="21" ht="15.75" customHeight="1">
      <c r="A21" s="146"/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P21" s="146"/>
    </row>
    <row r="22" ht="15.75" customHeight="1">
      <c r="A22" s="146"/>
      <c r="B22" s="146"/>
      <c r="C22" s="146"/>
      <c r="D22" s="146"/>
      <c r="E22" s="171"/>
      <c r="F22" s="171"/>
      <c r="G22" s="171"/>
      <c r="H22" s="171"/>
      <c r="I22" s="171"/>
      <c r="J22" s="171"/>
      <c r="K22" s="171"/>
      <c r="L22" s="222"/>
      <c r="M22" s="222"/>
      <c r="N22" s="222"/>
      <c r="O22" s="146"/>
      <c r="P22" s="222"/>
      <c r="Q22" s="146"/>
    </row>
    <row r="23" ht="15.75" customHeight="1">
      <c r="A23" s="146"/>
      <c r="B23" s="161"/>
      <c r="C23" s="162"/>
      <c r="D23" s="163"/>
      <c r="E23" s="268"/>
      <c r="F23" s="269"/>
      <c r="G23" s="269"/>
      <c r="H23" s="269"/>
      <c r="I23" s="269"/>
      <c r="J23" s="269"/>
      <c r="K23" s="269"/>
      <c r="L23" s="269"/>
      <c r="M23" s="269"/>
      <c r="N23" s="269"/>
      <c r="O23" s="270"/>
      <c r="P23" s="222"/>
      <c r="Q23" s="146"/>
    </row>
    <row r="24" ht="15.75" customHeight="1">
      <c r="A24" s="146"/>
      <c r="B24" s="164" t="s">
        <v>29</v>
      </c>
      <c r="C24" s="165"/>
      <c r="D24" s="166"/>
      <c r="E24" s="271"/>
      <c r="F24" s="272"/>
      <c r="G24" s="272"/>
      <c r="H24" s="272"/>
      <c r="I24" s="272"/>
      <c r="J24" s="272"/>
      <c r="K24" s="272"/>
      <c r="L24" s="272"/>
      <c r="M24" s="272"/>
      <c r="N24" s="272"/>
      <c r="O24" s="273"/>
      <c r="P24" s="222"/>
      <c r="Q24" s="146"/>
    </row>
    <row r="25" ht="15.75" customHeight="1">
      <c r="A25" s="146"/>
      <c r="B25" s="167"/>
      <c r="C25" s="168"/>
      <c r="D25" s="169"/>
      <c r="E25" s="170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222"/>
      <c r="Q25" s="146"/>
    </row>
    <row r="26" ht="15.75" customHeight="1">
      <c r="A26" s="146"/>
      <c r="B26" s="170"/>
      <c r="C26" s="171"/>
      <c r="D26" s="169"/>
      <c r="E26" s="170"/>
      <c r="F26" s="171"/>
      <c r="G26" s="171"/>
      <c r="H26" s="171"/>
      <c r="I26" s="274">
        <v>1.0</v>
      </c>
      <c r="J26" s="274" t="str">
        <f t="shared" ref="J26:M26" si="8">+I26+1</f>
        <v>2</v>
      </c>
      <c r="K26" s="274" t="str">
        <f t="shared" si="8"/>
        <v>3</v>
      </c>
      <c r="L26" s="274" t="str">
        <f t="shared" si="8"/>
        <v>4</v>
      </c>
      <c r="M26" s="274" t="str">
        <f t="shared" si="8"/>
        <v>5</v>
      </c>
      <c r="N26" s="146"/>
      <c r="O26" s="275" t="str">
        <f>+M26</f>
        <v>5</v>
      </c>
      <c r="P26" s="222"/>
      <c r="Q26" s="146"/>
    </row>
    <row r="27" ht="15.75" customHeight="1">
      <c r="A27" s="146"/>
      <c r="B27" s="172" t="s">
        <v>30</v>
      </c>
      <c r="C27" s="173"/>
      <c r="D27" s="174"/>
      <c r="E27" s="172"/>
      <c r="F27" s="175"/>
      <c r="G27" s="176"/>
      <c r="H27" s="177" t="s">
        <v>1</v>
      </c>
      <c r="I27" s="238" t="s">
        <v>2</v>
      </c>
      <c r="J27" s="178" t="s">
        <v>3</v>
      </c>
      <c r="K27" s="178" t="s">
        <v>4</v>
      </c>
      <c r="L27" s="178" t="s">
        <v>5</v>
      </c>
      <c r="M27" s="178" t="s">
        <v>6</v>
      </c>
      <c r="N27" s="276"/>
      <c r="O27" s="179" t="s">
        <v>31</v>
      </c>
      <c r="P27" s="222"/>
      <c r="Q27" s="146"/>
    </row>
    <row r="28" ht="15.75" customHeight="1">
      <c r="A28" s="146"/>
      <c r="B28" s="170"/>
      <c r="C28" s="171"/>
      <c r="D28" s="174"/>
      <c r="E28" s="180" t="s">
        <v>32</v>
      </c>
      <c r="F28" s="171"/>
      <c r="G28" s="171"/>
      <c r="H28" s="260" t="str">
        <f t="shared" ref="H28:M28" si="9">H7</f>
        <v>116.85 </v>
      </c>
      <c r="I28" s="260" t="str">
        <f t="shared" si="9"/>
        <v>142.42 </v>
      </c>
      <c r="J28" s="260" t="str">
        <f t="shared" si="9"/>
        <v>170.75 </v>
      </c>
      <c r="K28" s="260" t="str">
        <f t="shared" si="9"/>
        <v>198.69 </v>
      </c>
      <c r="L28" s="260" t="str">
        <f t="shared" si="9"/>
        <v>220.63 </v>
      </c>
      <c r="M28" s="260" t="str">
        <f t="shared" si="9"/>
        <v>241.87 </v>
      </c>
      <c r="N28" s="181"/>
      <c r="O28" s="182"/>
      <c r="P28" s="222"/>
      <c r="Q28" s="146"/>
    </row>
    <row r="29" ht="15.75" customHeight="1">
      <c r="A29" s="146"/>
      <c r="B29" s="170"/>
      <c r="C29" s="171"/>
      <c r="D29" s="146"/>
      <c r="E29" s="180" t="s">
        <v>33</v>
      </c>
      <c r="F29" s="171"/>
      <c r="G29" s="171"/>
      <c r="H29" s="277" t="str">
        <f t="shared" ref="H29:M29" si="10">-H10</f>
        <v>(65.08)</v>
      </c>
      <c r="I29" s="277" t="str">
        <f t="shared" si="10"/>
        <v>(38.01)</v>
      </c>
      <c r="J29" s="277" t="str">
        <f t="shared" si="10"/>
        <v>(47.07)</v>
      </c>
      <c r="K29" s="277" t="str">
        <f t="shared" si="10"/>
        <v>(55.32)</v>
      </c>
      <c r="L29" s="277" t="str">
        <f t="shared" si="10"/>
        <v>(61.40)</v>
      </c>
      <c r="M29" s="277" t="str">
        <f t="shared" si="10"/>
        <v>(66.82)</v>
      </c>
      <c r="N29" s="183"/>
      <c r="O29" s="184"/>
      <c r="P29" s="222"/>
      <c r="Q29" s="146"/>
    </row>
    <row r="30" ht="15.75" customHeight="1">
      <c r="A30" s="146"/>
      <c r="B30" s="185"/>
      <c r="C30" s="186"/>
      <c r="D30" s="146"/>
      <c r="E30" s="187" t="s">
        <v>34</v>
      </c>
      <c r="F30" s="188"/>
      <c r="G30" s="188"/>
      <c r="H30" s="278" t="str">
        <f t="array" ref="H30:N30">H28:N28+H29:N29</f>
        <v>51.77 </v>
      </c>
      <c r="I30" s="278">
        <v>104.40535078294498</v>
      </c>
      <c r="J30" s="278">
        <v>123.6760487137322</v>
      </c>
      <c r="K30" s="278">
        <v>143.3763079732799</v>
      </c>
      <c r="L30" s="278">
        <v>159.23665491593795</v>
      </c>
      <c r="M30" s="278">
        <v>175.05109264204094</v>
      </c>
      <c r="N30" s="279">
        <v>0.0</v>
      </c>
      <c r="O30" s="184"/>
      <c r="P30" s="222"/>
      <c r="Q30" s="146"/>
    </row>
    <row r="31" ht="15.75" customHeight="1">
      <c r="A31" s="146"/>
      <c r="B31" s="170" t="s">
        <v>110</v>
      </c>
      <c r="C31" s="74">
        <v>0.0183</v>
      </c>
      <c r="D31" s="146"/>
      <c r="E31" s="180" t="s">
        <v>36</v>
      </c>
      <c r="F31" s="171"/>
      <c r="G31" s="169">
        <v>0.15</v>
      </c>
      <c r="H31" s="260" t="str">
        <f t="array" ref="H31:N31">-H30:N30*G31</f>
        <v>(7.77)</v>
      </c>
      <c r="I31" s="280">
        <v>-15.660802617441746</v>
      </c>
      <c r="J31" s="260">
        <v>-18.55140730705983</v>
      </c>
      <c r="K31" s="260">
        <v>-21.506446195991984</v>
      </c>
      <c r="L31" s="260">
        <v>-23.885498237390692</v>
      </c>
      <c r="M31" s="260">
        <v>-26.25766389630614</v>
      </c>
      <c r="N31" s="192">
        <v>0.0</v>
      </c>
      <c r="O31" s="182"/>
      <c r="P31" s="222"/>
      <c r="Q31" s="146"/>
    </row>
    <row r="32" ht="15.75" customHeight="1">
      <c r="A32" s="146"/>
      <c r="B32" s="170" t="s">
        <v>37</v>
      </c>
      <c r="C32" s="74">
        <v>0.0525</v>
      </c>
      <c r="D32" s="146"/>
      <c r="E32" s="180" t="s">
        <v>38</v>
      </c>
      <c r="F32" s="171"/>
      <c r="G32" s="171"/>
      <c r="H32" s="260" t="str">
        <f t="array" ref="H32:N32">H10:N10</f>
        <v>65.08 </v>
      </c>
      <c r="I32" s="260">
        <v>38.014216144905006</v>
      </c>
      <c r="J32" s="260">
        <v>47.07449783654378</v>
      </c>
      <c r="K32" s="260">
        <v>55.315237103404876</v>
      </c>
      <c r="L32" s="260">
        <v>61.3978876701532</v>
      </c>
      <c r="M32" s="260">
        <v>66.82121665065009</v>
      </c>
      <c r="N32" s="192"/>
      <c r="O32" s="182"/>
      <c r="P32" s="222"/>
      <c r="Q32" s="146"/>
    </row>
    <row r="33" ht="15.75" customHeight="1">
      <c r="A33" s="146"/>
      <c r="B33" s="170" t="s">
        <v>111</v>
      </c>
      <c r="C33" s="78">
        <v>0.011</v>
      </c>
      <c r="D33" s="146"/>
      <c r="E33" s="180" t="s">
        <v>40</v>
      </c>
      <c r="F33" s="171"/>
      <c r="G33" s="171"/>
      <c r="H33" s="260"/>
      <c r="I33" s="260" t="str">
        <f t="shared" ref="I33:M33" si="11">-H13+I13</f>
        <v>(22.74)</v>
      </c>
      <c r="J33" s="260" t="str">
        <f t="shared" si="11"/>
        <v>(18.16)</v>
      </c>
      <c r="K33" s="260" t="str">
        <f t="shared" si="11"/>
        <v>(13.75)</v>
      </c>
      <c r="L33" s="260" t="str">
        <f t="shared" si="11"/>
        <v>(9.44)</v>
      </c>
      <c r="M33" s="260" t="str">
        <f t="shared" si="11"/>
        <v>(6.02)</v>
      </c>
      <c r="N33" s="192"/>
      <c r="O33" s="182"/>
      <c r="P33" s="222"/>
      <c r="Q33" s="146"/>
    </row>
    <row r="34" ht="15.75" customHeight="1">
      <c r="A34" s="146"/>
      <c r="B34" s="170" t="s">
        <v>41</v>
      </c>
      <c r="C34" s="79">
        <v>0.315</v>
      </c>
      <c r="D34" s="146"/>
      <c r="E34" s="193" t="s">
        <v>42</v>
      </c>
      <c r="F34" s="194"/>
      <c r="G34" s="194"/>
      <c r="H34" s="195"/>
      <c r="I34" s="281" t="str">
        <f t="shared" ref="I34:M34" si="12">+I30+I31+I32+I33</f>
        <v>104.0 </v>
      </c>
      <c r="J34" s="281" t="str">
        <f t="shared" si="12"/>
        <v>134.0 </v>
      </c>
      <c r="K34" s="281" t="str">
        <f t="shared" si="12"/>
        <v>163.4 </v>
      </c>
      <c r="L34" s="281" t="str">
        <f t="shared" si="12"/>
        <v>187.3 </v>
      </c>
      <c r="M34" s="281" t="str">
        <f t="shared" si="12"/>
        <v>209.6 </v>
      </c>
      <c r="N34" s="282"/>
      <c r="O34" s="182"/>
      <c r="P34" s="222"/>
      <c r="Q34" s="146"/>
    </row>
    <row r="35" ht="15.75" customHeight="1">
      <c r="A35" s="146"/>
      <c r="B35" s="170" t="s">
        <v>43</v>
      </c>
      <c r="C35" s="83">
        <v>0.685</v>
      </c>
      <c r="D35" s="146"/>
      <c r="E35" s="196" t="s">
        <v>44</v>
      </c>
      <c r="F35" s="197"/>
      <c r="G35" s="197"/>
      <c r="H35" s="198"/>
      <c r="I35" s="198" t="str">
        <f t="shared" ref="I35:M35" si="13">I34/I28</f>
        <v>73.0%</v>
      </c>
      <c r="J35" s="198" t="str">
        <f t="shared" si="13"/>
        <v>78.5%</v>
      </c>
      <c r="K35" s="198" t="str">
        <f t="shared" si="13"/>
        <v>82.3%</v>
      </c>
      <c r="L35" s="198" t="str">
        <f t="shared" si="13"/>
        <v>84.9%</v>
      </c>
      <c r="M35" s="198" t="str">
        <f t="shared" si="13"/>
        <v>86.7%</v>
      </c>
      <c r="N35" s="283"/>
      <c r="O35" s="182"/>
      <c r="P35" s="222"/>
      <c r="Q35" s="146"/>
    </row>
    <row r="36" ht="15.75" customHeight="1">
      <c r="A36" s="146"/>
      <c r="B36" s="170" t="s">
        <v>45</v>
      </c>
      <c r="C36" s="78">
        <v>0.46</v>
      </c>
      <c r="D36" s="146"/>
      <c r="E36" s="170"/>
      <c r="F36" s="171"/>
      <c r="G36" s="171"/>
      <c r="H36" s="171"/>
      <c r="I36" s="171"/>
      <c r="J36" s="171"/>
      <c r="K36" s="171"/>
      <c r="L36" s="171"/>
      <c r="M36" s="171"/>
      <c r="N36" s="171"/>
      <c r="O36" s="182"/>
      <c r="P36" s="222"/>
      <c r="Q36" s="146"/>
    </row>
    <row r="37" ht="15.75" customHeight="1">
      <c r="A37" s="146"/>
      <c r="B37" s="170"/>
      <c r="C37" s="88"/>
      <c r="D37" s="146"/>
      <c r="E37" s="180" t="s">
        <v>46</v>
      </c>
      <c r="F37" s="171"/>
      <c r="G37" s="171"/>
      <c r="H37" s="260" t="str">
        <f t="array" ref="H37:M37">-H16:M16</f>
        <v>(97.36)</v>
      </c>
      <c r="I37" s="277">
        <v>-172.050483537</v>
      </c>
      <c r="J37" s="260">
        <v>-177.40316524704</v>
      </c>
      <c r="K37" s="260">
        <v>-173.8551019420992</v>
      </c>
      <c r="L37" s="260">
        <v>-148.89447659184066</v>
      </c>
      <c r="M37" s="260">
        <v>-144.83371813933593</v>
      </c>
      <c r="N37" s="192"/>
      <c r="O37" s="182"/>
      <c r="P37" s="222"/>
      <c r="Q37" s="146"/>
    </row>
    <row r="38" ht="15.75" customHeight="1">
      <c r="A38" s="146"/>
      <c r="B38" s="170" t="s">
        <v>47</v>
      </c>
      <c r="C38" s="90">
        <v>0.99</v>
      </c>
      <c r="D38" s="146"/>
      <c r="E38" s="193" t="s">
        <v>48</v>
      </c>
      <c r="F38" s="194"/>
      <c r="G38" s="194"/>
      <c r="H38" s="284"/>
      <c r="I38" s="284" t="str">
        <f t="shared" ref="I38:N38" si="14">I34+I37</f>
        <v>(68.03)</v>
      </c>
      <c r="J38" s="284" t="str">
        <f t="shared" si="14"/>
        <v>(43.36)</v>
      </c>
      <c r="K38" s="284" t="str">
        <f t="shared" si="14"/>
        <v>(10.42)</v>
      </c>
      <c r="L38" s="284" t="str">
        <f t="shared" si="14"/>
        <v>38.42 </v>
      </c>
      <c r="M38" s="284" t="str">
        <f t="shared" si="14"/>
        <v>64.76 </v>
      </c>
      <c r="N38" s="285" t="str">
        <f t="shared" si="14"/>
        <v>-</v>
      </c>
      <c r="O38" s="201"/>
      <c r="P38" s="222"/>
      <c r="Q38" s="146"/>
    </row>
    <row r="39" ht="15.75" customHeight="1">
      <c r="A39" s="146"/>
      <c r="B39" s="170"/>
      <c r="C39" s="174"/>
      <c r="D39" s="146"/>
      <c r="E39" s="196" t="s">
        <v>44</v>
      </c>
      <c r="F39" s="197"/>
      <c r="G39" s="197"/>
      <c r="H39" s="198"/>
      <c r="I39" s="198" t="str">
        <f t="shared" ref="I39:M39" si="15">I38/I28</f>
        <v>(47.8%)</v>
      </c>
      <c r="J39" s="198" t="str">
        <f t="shared" si="15"/>
        <v>(25.4%)</v>
      </c>
      <c r="K39" s="198" t="str">
        <f t="shared" si="15"/>
        <v>(5.2%)</v>
      </c>
      <c r="L39" s="198" t="str">
        <f t="shared" si="15"/>
        <v>17.4%</v>
      </c>
      <c r="M39" s="198" t="str">
        <f t="shared" si="15"/>
        <v>26.8%</v>
      </c>
      <c r="N39" s="283"/>
      <c r="O39" s="201"/>
      <c r="P39" s="222"/>
      <c r="Q39" s="146"/>
    </row>
    <row r="40" ht="15.75" customHeight="1">
      <c r="A40" s="146"/>
      <c r="B40" s="193" t="s">
        <v>49</v>
      </c>
      <c r="C40" s="286" t="str">
        <f>C31+C32*C38</f>
        <v>7.0%</v>
      </c>
      <c r="D40" s="146"/>
      <c r="E40" s="170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222"/>
      <c r="Q40" s="146"/>
    </row>
    <row r="41" ht="15.75" customHeight="1">
      <c r="A41" s="146"/>
      <c r="B41" s="170"/>
      <c r="C41" s="171"/>
      <c r="D41" s="146"/>
      <c r="E41" s="204" t="s">
        <v>51</v>
      </c>
      <c r="F41" s="205"/>
      <c r="G41" s="206"/>
      <c r="H41" s="207"/>
      <c r="I41" s="287" t="str">
        <f t="shared" ref="I41:M41" si="16">I38/(1+$C47)^I26</f>
        <v>(64.43)</v>
      </c>
      <c r="J41" s="287" t="str">
        <f t="shared" si="16"/>
        <v>(38.89)</v>
      </c>
      <c r="K41" s="287" t="str">
        <f t="shared" si="16"/>
        <v>(8.85)</v>
      </c>
      <c r="L41" s="287" t="str">
        <f t="shared" si="16"/>
        <v>30.90 </v>
      </c>
      <c r="M41" s="287" t="str">
        <f t="shared" si="16"/>
        <v>49.32 </v>
      </c>
      <c r="N41" s="208" t="str">
        <f>N38/(1+$C47)^M26</f>
        <v>-</v>
      </c>
      <c r="O41" s="171"/>
      <c r="P41" s="222"/>
      <c r="Q41" s="146"/>
    </row>
    <row r="42" ht="15.75" customHeight="1">
      <c r="A42" s="146"/>
      <c r="B42" s="209" t="s">
        <v>50</v>
      </c>
      <c r="C42" s="210" t="str">
        <f>C31+C33</f>
        <v>2.93%</v>
      </c>
      <c r="D42" s="146"/>
      <c r="E42" s="211" t="s">
        <v>53</v>
      </c>
      <c r="F42" s="205"/>
      <c r="G42" s="206"/>
      <c r="H42" s="212"/>
      <c r="I42" s="212"/>
      <c r="J42" s="213"/>
      <c r="K42" s="213"/>
      <c r="L42" s="213"/>
      <c r="M42" s="213"/>
      <c r="N42" s="213"/>
      <c r="O42" s="214" t="str">
        <f>C53/(1+C47)^O26</f>
        <v>2,541.6</v>
      </c>
      <c r="P42" s="222"/>
      <c r="Q42" s="146"/>
    </row>
    <row r="43" ht="15.75" customHeight="1">
      <c r="A43" s="146"/>
      <c r="B43" s="170"/>
      <c r="C43" s="174"/>
      <c r="D43" s="146"/>
      <c r="E43" s="215" t="s">
        <v>54</v>
      </c>
      <c r="F43" s="216"/>
      <c r="G43" s="288" t="str">
        <f>J41+K41+L41+M41+I41+O42</f>
        <v>2509.7 </v>
      </c>
      <c r="H43" s="171"/>
      <c r="I43" s="171"/>
      <c r="J43" s="171"/>
      <c r="K43" s="218"/>
      <c r="L43" s="171"/>
      <c r="M43" s="171"/>
      <c r="N43" s="171"/>
      <c r="O43" s="171"/>
      <c r="P43" s="222"/>
      <c r="Q43" s="146"/>
    </row>
    <row r="44" ht="15.75" customHeight="1">
      <c r="A44" s="146"/>
      <c r="B44" s="170" t="s">
        <v>52</v>
      </c>
      <c r="C44" s="169">
        <v>0.15</v>
      </c>
      <c r="D44" s="146"/>
      <c r="E44" s="211" t="s">
        <v>55</v>
      </c>
      <c r="F44" s="212"/>
      <c r="G44" s="171">
        <v>-62.27913</v>
      </c>
      <c r="H44" s="146"/>
      <c r="I44" s="171"/>
      <c r="J44" s="171"/>
      <c r="K44" s="192"/>
      <c r="L44" s="171"/>
      <c r="M44" s="171"/>
      <c r="N44" s="171"/>
      <c r="O44" s="171"/>
      <c r="P44" s="222"/>
      <c r="Q44" s="146"/>
    </row>
    <row r="45" ht="15.75" customHeight="1">
      <c r="A45" s="146"/>
      <c r="B45" s="193"/>
      <c r="C45" s="286"/>
      <c r="D45" s="146"/>
      <c r="E45" s="215" t="s">
        <v>57</v>
      </c>
      <c r="F45" s="216"/>
      <c r="G45" s="288" t="str">
        <f>G43-G44</f>
        <v>2572.0 </v>
      </c>
      <c r="H45" s="221"/>
      <c r="I45" s="221"/>
      <c r="J45" s="221"/>
      <c r="K45" s="222"/>
      <c r="L45" s="221"/>
      <c r="M45" s="221"/>
      <c r="N45" s="221"/>
      <c r="O45" s="171"/>
      <c r="P45" s="222"/>
      <c r="Q45" s="146"/>
    </row>
    <row r="46" ht="15.75" customHeight="1">
      <c r="A46" s="146"/>
      <c r="B46" s="170" t="s">
        <v>112</v>
      </c>
      <c r="C46" s="78" t="str">
        <f>C40*C35+C42*C34*(1-C44)</f>
        <v>5.60%</v>
      </c>
      <c r="D46" s="146"/>
      <c r="E46" s="170"/>
      <c r="F46" s="171"/>
      <c r="G46" s="171"/>
      <c r="H46" s="171"/>
      <c r="I46" s="171"/>
      <c r="J46" s="171"/>
      <c r="K46" s="171"/>
      <c r="L46" s="171"/>
      <c r="M46" s="192"/>
      <c r="N46" s="171"/>
      <c r="O46" s="171"/>
      <c r="P46" s="222"/>
      <c r="Q46" s="146"/>
    </row>
    <row r="47" ht="15.75" customHeight="1">
      <c r="A47" s="146"/>
      <c r="B47" s="223" t="s">
        <v>56</v>
      </c>
      <c r="C47" s="224" t="str">
        <f>C46</f>
        <v>5.60%</v>
      </c>
      <c r="D47" s="146"/>
      <c r="E47" s="225" t="s">
        <v>58</v>
      </c>
      <c r="F47" s="226" t="s">
        <v>12</v>
      </c>
      <c r="G47" s="226" t="s">
        <v>59</v>
      </c>
      <c r="H47" s="171"/>
      <c r="I47" s="171"/>
      <c r="J47" s="171"/>
      <c r="K47" s="171"/>
      <c r="L47" s="171"/>
      <c r="M47" s="171"/>
      <c r="N47" s="171"/>
      <c r="O47" s="171"/>
      <c r="P47" s="222"/>
      <c r="Q47" s="146"/>
    </row>
    <row r="48" ht="15.75" customHeight="1">
      <c r="A48" s="146"/>
      <c r="B48" s="170" t="s">
        <v>93</v>
      </c>
      <c r="C48" s="289" t="s">
        <v>113</v>
      </c>
      <c r="D48" s="146"/>
      <c r="E48" s="229" t="s">
        <v>114</v>
      </c>
      <c r="F48" s="192" t="str">
        <f>+I28</f>
        <v>142.4</v>
      </c>
      <c r="G48" s="228" t="str">
        <f>+G43/F48</f>
        <v>17.6x</v>
      </c>
      <c r="H48" s="171"/>
      <c r="I48" s="171"/>
      <c r="J48" s="171"/>
      <c r="K48" s="171"/>
      <c r="L48" s="171"/>
      <c r="M48" s="171"/>
      <c r="N48" s="171"/>
      <c r="O48" s="171"/>
      <c r="P48" s="222"/>
      <c r="Q48" s="146"/>
    </row>
    <row r="49" ht="15.75" customHeight="1">
      <c r="A49" s="146"/>
      <c r="B49" s="209" t="s">
        <v>60</v>
      </c>
      <c r="C49" s="227"/>
      <c r="D49" s="146"/>
      <c r="E49" s="229" t="s">
        <v>63</v>
      </c>
      <c r="F49" s="192" t="str">
        <f>J7</f>
        <v>170.8</v>
      </c>
      <c r="G49" s="228" t="str">
        <f>G43/F49</f>
        <v>14.7x</v>
      </c>
      <c r="H49" s="171"/>
      <c r="I49" s="171"/>
      <c r="J49" s="171"/>
      <c r="K49" s="171"/>
      <c r="L49" s="171"/>
      <c r="M49" s="171"/>
      <c r="N49" s="230"/>
      <c r="O49" s="171"/>
      <c r="P49" s="222"/>
      <c r="Q49" s="146"/>
    </row>
    <row r="50" ht="15.75" customHeight="1">
      <c r="A50" s="146"/>
      <c r="B50" s="170" t="s">
        <v>62</v>
      </c>
      <c r="C50" s="174">
        <v>0.04</v>
      </c>
      <c r="D50" s="146"/>
      <c r="E50" s="229" t="s">
        <v>65</v>
      </c>
      <c r="F50" s="192" t="str">
        <f>K7</f>
        <v>198.7</v>
      </c>
      <c r="G50" s="228" t="str">
        <f>G43/F50</f>
        <v>12.6x</v>
      </c>
      <c r="H50" s="171"/>
      <c r="I50" s="146"/>
      <c r="J50" s="171"/>
      <c r="K50" s="171"/>
      <c r="L50" s="171"/>
      <c r="M50" s="171"/>
      <c r="N50" s="171"/>
      <c r="O50" s="171"/>
      <c r="P50" s="222"/>
      <c r="Q50" s="146"/>
    </row>
    <row r="51" ht="15.75" customHeight="1">
      <c r="A51" s="146"/>
      <c r="B51" s="170" t="s">
        <v>115</v>
      </c>
      <c r="C51" s="231" t="str">
        <f>+M41*(1+C50)</f>
        <v>51.3</v>
      </c>
      <c r="D51" s="146"/>
      <c r="E51" s="229" t="s">
        <v>66</v>
      </c>
      <c r="F51" s="192" t="str">
        <f>L7</f>
        <v>220.6</v>
      </c>
      <c r="G51" s="228" t="str">
        <f>G43/F51</f>
        <v>11.4x</v>
      </c>
      <c r="H51" s="171"/>
      <c r="I51" s="171"/>
      <c r="J51" s="222"/>
      <c r="K51" s="222"/>
      <c r="L51" s="222"/>
      <c r="M51" s="222"/>
      <c r="N51" s="222"/>
      <c r="O51" s="222"/>
      <c r="P51" s="222"/>
      <c r="Q51" s="146"/>
    </row>
    <row r="52" ht="15.75" customHeight="1">
      <c r="A52" s="146"/>
      <c r="B52" s="170"/>
      <c r="C52" s="171"/>
      <c r="D52" s="146"/>
      <c r="E52" s="229" t="s">
        <v>67</v>
      </c>
      <c r="F52" s="192" t="str">
        <f>M7</f>
        <v>241.9</v>
      </c>
      <c r="G52" s="234" t="str">
        <f>G43/F52</f>
        <v>10.4x</v>
      </c>
      <c r="H52" s="170"/>
      <c r="I52" s="171"/>
      <c r="J52" s="222"/>
      <c r="K52" s="222"/>
      <c r="L52" s="222"/>
      <c r="M52" s="222"/>
      <c r="N52" s="222"/>
      <c r="O52" s="222"/>
      <c r="P52" s="222"/>
      <c r="Q52" s="146"/>
    </row>
    <row r="53" ht="15.75" customHeight="1">
      <c r="A53" s="146"/>
      <c r="B53" s="223" t="s">
        <v>31</v>
      </c>
      <c r="C53" s="233" t="str">
        <f>+(C51*(1+C50))/(C47-C50)</f>
        <v>3337.3</v>
      </c>
      <c r="D53" s="146"/>
      <c r="E53" s="229"/>
      <c r="F53" s="192"/>
      <c r="G53" s="90"/>
      <c r="H53" s="170"/>
      <c r="I53" s="171"/>
      <c r="J53" s="146"/>
      <c r="K53" s="146"/>
      <c r="L53" s="146"/>
      <c r="M53" s="146"/>
      <c r="N53" s="146"/>
      <c r="O53" s="146"/>
      <c r="P53" s="146"/>
      <c r="Q53" s="146"/>
    </row>
    <row r="54" ht="15.75" customHeight="1">
      <c r="A54" s="146"/>
      <c r="B54" s="146"/>
      <c r="C54" s="146"/>
      <c r="D54" s="146"/>
      <c r="E54" s="146"/>
      <c r="F54" s="146"/>
      <c r="G54" s="146"/>
      <c r="H54" s="170"/>
      <c r="I54" s="146"/>
      <c r="J54" s="146"/>
      <c r="K54" s="146"/>
      <c r="L54" s="146"/>
      <c r="M54" s="146"/>
      <c r="N54" s="146"/>
      <c r="O54" s="146"/>
      <c r="P54" s="146"/>
      <c r="Q54" s="146"/>
    </row>
    <row r="55" ht="15.75" customHeight="1">
      <c r="A55" s="146"/>
      <c r="B55" s="146"/>
      <c r="C55" s="146"/>
      <c r="D55" s="146"/>
      <c r="E55" s="146"/>
      <c r="F55" s="146"/>
      <c r="G55" s="146"/>
      <c r="H55" s="170"/>
      <c r="I55" s="171"/>
      <c r="J55" s="146"/>
      <c r="K55" s="146"/>
      <c r="L55" s="146"/>
      <c r="M55" s="146"/>
      <c r="N55" s="146"/>
      <c r="O55" s="146"/>
      <c r="P55" s="146"/>
      <c r="Q55" s="146"/>
    </row>
    <row r="56" ht="15.75" customHeight="1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</row>
    <row r="57" ht="15.75" customHeight="1">
      <c r="A57" s="146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</row>
    <row r="58" ht="15.75" customHeight="1">
      <c r="A58" s="146"/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</row>
    <row r="59" ht="15.75" customHeight="1">
      <c r="A59" s="146"/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</row>
    <row r="60" ht="15.75" customHeight="1">
      <c r="A60" s="146"/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</row>
    <row r="61" ht="15.75" customHeight="1">
      <c r="A61" s="146"/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</row>
    <row r="62" ht="15.75" customHeight="1">
      <c r="A62" s="146"/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3" width="12.88"/>
    <col customWidth="1" min="4" max="4" width="11.63"/>
    <col customWidth="1" min="5" max="5" width="14.38"/>
    <col customWidth="1" min="6" max="6" width="13.13"/>
    <col customWidth="1" min="7" max="7" width="12.5"/>
    <col customWidth="1" min="8" max="8" width="14.63"/>
    <col customWidth="1" min="9" max="9" width="10.63"/>
    <col customWidth="1" min="10" max="10" width="13.5"/>
    <col customWidth="1" min="11" max="11" width="11.88"/>
    <col customWidth="1" min="12" max="18" width="10.63"/>
  </cols>
  <sheetData>
    <row r="1" ht="15.75" customHeight="1"/>
    <row r="2" ht="15.75" customHeight="1">
      <c r="D2" s="290"/>
      <c r="E2" s="291"/>
      <c r="F2" s="292"/>
    </row>
    <row r="3" ht="15.75" customHeight="1">
      <c r="A3" s="290"/>
      <c r="B3" s="290"/>
      <c r="C3" s="290"/>
      <c r="D3" s="290"/>
      <c r="E3" s="293"/>
      <c r="F3" s="293"/>
    </row>
    <row r="4" ht="15.75" customHeight="1">
      <c r="A4" s="290"/>
      <c r="B4" s="293"/>
      <c r="C4" s="293"/>
      <c r="D4" s="290"/>
      <c r="E4" s="293"/>
      <c r="F4" s="293"/>
      <c r="G4" s="290"/>
    </row>
    <row r="5" ht="15.75" customHeight="1">
      <c r="A5" s="290"/>
      <c r="B5" s="294"/>
      <c r="C5" s="292"/>
      <c r="D5" s="295" t="s">
        <v>116</v>
      </c>
      <c r="E5" s="293"/>
      <c r="F5" s="293"/>
    </row>
    <row r="6" ht="15.75" customHeight="1">
      <c r="A6" s="290"/>
      <c r="B6" s="293"/>
      <c r="C6" s="293"/>
      <c r="D6" s="290"/>
      <c r="E6" s="293"/>
      <c r="F6" s="293"/>
    </row>
    <row r="7" ht="15.75" customHeight="1">
      <c r="A7" s="290"/>
      <c r="B7" s="291"/>
      <c r="C7" s="291"/>
      <c r="D7" s="9"/>
      <c r="E7" s="9" t="s">
        <v>117</v>
      </c>
      <c r="F7" s="9" t="s">
        <v>118</v>
      </c>
      <c r="G7" s="290" t="s">
        <v>1</v>
      </c>
      <c r="H7" s="290" t="s">
        <v>119</v>
      </c>
    </row>
    <row r="8" ht="15.75" customHeight="1">
      <c r="A8" s="290"/>
      <c r="B8" s="293"/>
      <c r="C8" s="296"/>
      <c r="D8" s="9" t="s">
        <v>120</v>
      </c>
      <c r="G8" s="67">
        <v>156878.0</v>
      </c>
      <c r="H8" s="67">
        <v>153508.0</v>
      </c>
    </row>
    <row r="9" ht="15.75" customHeight="1">
      <c r="A9" s="290"/>
      <c r="B9" s="293"/>
      <c r="C9" s="293"/>
      <c r="D9" s="290" t="s">
        <v>34</v>
      </c>
      <c r="G9" s="89">
        <v>5555.0</v>
      </c>
      <c r="H9" s="32">
        <v>-25129.0</v>
      </c>
    </row>
    <row r="10" ht="15.75" customHeight="1">
      <c r="A10" s="290"/>
      <c r="B10" s="294"/>
      <c r="C10" s="292"/>
      <c r="D10" s="290" t="s">
        <v>12</v>
      </c>
      <c r="G10" s="67">
        <v>12781.0</v>
      </c>
      <c r="H10" s="39">
        <v>-18148.0</v>
      </c>
    </row>
    <row r="11" ht="15.75" customHeight="1">
      <c r="A11" s="290"/>
      <c r="B11" s="293"/>
      <c r="C11" s="293"/>
      <c r="D11" s="9" t="s">
        <v>121</v>
      </c>
      <c r="G11" s="67">
        <v>-1488.0</v>
      </c>
      <c r="H11" s="67">
        <v>-4273.0</v>
      </c>
    </row>
    <row r="12" ht="15.75" customHeight="1">
      <c r="A12" s="290"/>
      <c r="B12" s="291"/>
      <c r="C12" s="292"/>
      <c r="D12" s="290" t="s">
        <v>122</v>
      </c>
      <c r="G12" s="89">
        <v>4032.0</v>
      </c>
      <c r="H12" s="89">
        <v>-26605.0</v>
      </c>
    </row>
    <row r="13" ht="15.75" customHeight="1">
      <c r="A13" s="290"/>
      <c r="B13" s="293"/>
      <c r="C13" s="293"/>
      <c r="D13" s="290" t="s">
        <v>123</v>
      </c>
      <c r="G13" s="297" t="str">
        <f t="shared" ref="G13:H13" si="1">G11/G12</f>
        <v>-36.905%</v>
      </c>
      <c r="H13" s="298" t="str">
        <f t="shared" si="1"/>
        <v>16.061%</v>
      </c>
      <c r="L13" s="290"/>
      <c r="P13" s="9"/>
    </row>
    <row r="14" ht="15.75" customHeight="1">
      <c r="A14" s="290"/>
      <c r="B14" s="293"/>
      <c r="C14" s="293"/>
      <c r="D14" s="290" t="s">
        <v>17</v>
      </c>
      <c r="G14" s="32">
        <v>7226.0</v>
      </c>
      <c r="H14" s="89">
        <v>6981.0</v>
      </c>
      <c r="L14" s="293"/>
    </row>
    <row r="15" ht="15.75" customHeight="1">
      <c r="A15" s="290"/>
      <c r="B15" s="293"/>
      <c r="C15" s="293"/>
      <c r="D15" s="290" t="s">
        <v>124</v>
      </c>
      <c r="G15" s="39">
        <v>-11060.0</v>
      </c>
      <c r="H15" s="89">
        <v>-9142.0</v>
      </c>
      <c r="I15" s="293"/>
      <c r="J15" s="290"/>
      <c r="K15" s="9"/>
      <c r="M15" s="299"/>
      <c r="Q15" s="290"/>
      <c r="R15" s="290"/>
    </row>
    <row r="16" ht="15.75" customHeight="1">
      <c r="A16" s="290"/>
      <c r="B16" s="293"/>
      <c r="C16" s="293"/>
      <c r="D16" s="9" t="s">
        <v>125</v>
      </c>
      <c r="G16" s="67" t="str">
        <f>6392-17580</f>
        <v>(11,188.00)</v>
      </c>
      <c r="H16" s="67" t="str">
        <f>1799-6392</f>
        <v>(4,593.00)</v>
      </c>
      <c r="I16" s="293"/>
      <c r="J16" s="293"/>
      <c r="P16" s="293"/>
    </row>
    <row r="17" ht="15.75" customHeight="1">
      <c r="A17" s="9"/>
      <c r="B17" s="290"/>
      <c r="C17" s="290"/>
      <c r="D17" s="9" t="s">
        <v>126</v>
      </c>
      <c r="E17">
        <v>27153.0</v>
      </c>
      <c r="F17">
        <v>29463.0</v>
      </c>
      <c r="G17" s="67">
        <v>37227.0</v>
      </c>
      <c r="H17" s="67">
        <v>45947.0</v>
      </c>
      <c r="I17" s="290"/>
      <c r="J17" s="290"/>
      <c r="L17" s="290"/>
      <c r="M17" s="290"/>
      <c r="N17" s="290"/>
      <c r="P17" s="293"/>
    </row>
    <row r="18" ht="15.75" customHeight="1">
      <c r="A18" s="9"/>
      <c r="B18" s="67"/>
      <c r="C18" s="67"/>
      <c r="D18" s="290" t="s">
        <v>127</v>
      </c>
      <c r="G18" s="89">
        <v>571.0</v>
      </c>
      <c r="H18" s="89">
        <v>13347.0</v>
      </c>
      <c r="I18" s="89"/>
      <c r="J18" s="293"/>
      <c r="K18" s="290"/>
      <c r="L18" s="300"/>
      <c r="P18" s="293"/>
    </row>
    <row r="19" ht="15.75" customHeight="1">
      <c r="A19" s="290"/>
      <c r="B19" s="89"/>
      <c r="C19" s="32"/>
      <c r="D19" s="290" t="s">
        <v>128</v>
      </c>
      <c r="E19">
        <v>72382.0</v>
      </c>
      <c r="F19">
        <v>82120.0</v>
      </c>
      <c r="G19" s="89">
        <v>82115.0</v>
      </c>
      <c r="H19" s="89">
        <v>54001.0</v>
      </c>
      <c r="I19" s="89"/>
      <c r="J19" s="293"/>
      <c r="K19" s="290"/>
      <c r="L19" s="300"/>
      <c r="P19" s="293"/>
    </row>
    <row r="20" ht="15.75" customHeight="1">
      <c r="A20" s="290"/>
      <c r="B20" s="67"/>
      <c r="C20" s="39"/>
      <c r="D20" s="290" t="s">
        <v>129</v>
      </c>
      <c r="G20" s="89">
        <v>34100.0</v>
      </c>
      <c r="H20" s="89">
        <v>30146.0</v>
      </c>
      <c r="I20" s="89"/>
      <c r="J20" s="293"/>
      <c r="K20" s="290"/>
      <c r="L20" s="300"/>
    </row>
    <row r="21" ht="15.75" customHeight="1">
      <c r="A21" s="9"/>
      <c r="B21" s="67"/>
      <c r="C21" s="67"/>
      <c r="D21" s="290" t="s">
        <v>130</v>
      </c>
      <c r="G21" s="301">
        <v>0.99</v>
      </c>
      <c r="H21" s="301">
        <v>0.99</v>
      </c>
      <c r="I21" s="89"/>
      <c r="J21" s="293"/>
      <c r="K21" s="290"/>
      <c r="L21" s="300"/>
      <c r="P21" s="293"/>
    </row>
    <row r="22" ht="15.75" customHeight="1">
      <c r="A22" s="290"/>
      <c r="B22" s="89"/>
      <c r="C22" s="89"/>
      <c r="D22" s="290" t="s">
        <v>131</v>
      </c>
      <c r="E22">
        <v>1185.0</v>
      </c>
      <c r="F22">
        <v>1330.0</v>
      </c>
      <c r="G22" s="89">
        <v>1523.0</v>
      </c>
      <c r="H22" s="89">
        <v>1476.0</v>
      </c>
      <c r="I22" s="89"/>
      <c r="J22" s="293"/>
      <c r="K22" s="290"/>
      <c r="L22" s="300"/>
    </row>
    <row r="23" ht="15.75" customHeight="1">
      <c r="A23" s="290"/>
      <c r="B23" s="297"/>
      <c r="C23" s="298"/>
      <c r="I23" s="297"/>
      <c r="J23" s="293"/>
      <c r="K23" s="290"/>
      <c r="L23" s="298"/>
      <c r="M23" s="302"/>
    </row>
    <row r="24" ht="15.75" customHeight="1">
      <c r="A24" s="290"/>
      <c r="B24" s="32"/>
      <c r="C24" s="89"/>
      <c r="D24" s="290" t="s">
        <v>132</v>
      </c>
      <c r="G24" s="303" t="str">
        <f>G9*(1-0.16)</f>
        <v> 4,666.20 </v>
      </c>
      <c r="H24" s="89" t="str">
        <f>H9*(1-H13)</f>
        <v>(21,093.06)</v>
      </c>
      <c r="I24" s="89"/>
      <c r="J24" s="293"/>
      <c r="K24" s="290"/>
      <c r="L24" s="67"/>
      <c r="P24" s="293"/>
    </row>
    <row r="25" ht="15.75" customHeight="1">
      <c r="A25" s="290"/>
      <c r="B25" s="39"/>
      <c r="C25" s="89"/>
      <c r="D25" s="290" t="s">
        <v>133</v>
      </c>
      <c r="G25" s="89" t="str">
        <f t="shared" ref="G25:H25" si="2">G24+G14-G15-G16</f>
        <v> 34,140.20 </v>
      </c>
      <c r="H25" s="303" t="str">
        <f t="shared" si="2"/>
        <v>(377.06)</v>
      </c>
      <c r="I25" s="89"/>
      <c r="J25" s="293"/>
      <c r="K25" s="290"/>
      <c r="L25" s="67"/>
      <c r="P25" s="293"/>
    </row>
    <row r="26" ht="15.75" customHeight="1">
      <c r="A26" s="9"/>
      <c r="B26" s="67"/>
      <c r="C26" s="67"/>
      <c r="D26" s="290"/>
      <c r="G26" s="290"/>
      <c r="H26" s="290"/>
      <c r="I26" s="89"/>
      <c r="J26" s="293"/>
      <c r="K26" s="290"/>
      <c r="L26" s="67"/>
      <c r="P26" s="293"/>
    </row>
    <row r="27" ht="15.75" customHeight="1">
      <c r="A27" s="9"/>
      <c r="B27" s="67"/>
      <c r="C27" s="67"/>
      <c r="D27" s="290" t="s">
        <v>134</v>
      </c>
      <c r="G27" s="293"/>
      <c r="H27" s="291">
        <v>0.0423</v>
      </c>
      <c r="I27" s="89"/>
      <c r="J27" s="293"/>
      <c r="K27" s="290"/>
      <c r="L27" s="67"/>
      <c r="P27" s="293"/>
    </row>
    <row r="28" ht="15.75" customHeight="1">
      <c r="A28" s="290"/>
      <c r="B28" s="89"/>
      <c r="C28" s="89"/>
      <c r="D28" s="290" t="s">
        <v>135</v>
      </c>
      <c r="G28" s="293"/>
      <c r="H28" s="291">
        <v>0.0247</v>
      </c>
      <c r="I28" s="89"/>
      <c r="J28" s="293"/>
      <c r="K28" s="290"/>
      <c r="L28" s="67"/>
      <c r="P28" s="293"/>
    </row>
    <row r="29" ht="15.75" customHeight="1">
      <c r="A29" s="290"/>
      <c r="B29" s="89"/>
      <c r="C29" s="89"/>
      <c r="D29" s="293"/>
      <c r="G29" s="293"/>
      <c r="H29" s="293"/>
      <c r="I29" s="89"/>
      <c r="J29" s="293"/>
      <c r="K29" s="290"/>
      <c r="L29" s="67"/>
      <c r="P29" s="293"/>
    </row>
    <row r="30" ht="15.75" customHeight="1">
      <c r="A30" s="290"/>
      <c r="B30" s="89"/>
      <c r="C30" s="89"/>
      <c r="D30" s="290" t="s">
        <v>136</v>
      </c>
      <c r="G30" s="293"/>
      <c r="H30" s="297" t="str">
        <f>H28+H21*H27</f>
        <v>6.658%</v>
      </c>
      <c r="I30" s="89"/>
      <c r="J30" s="293"/>
      <c r="K30" s="290"/>
      <c r="L30" s="67"/>
    </row>
    <row r="31" ht="15.75" customHeight="1">
      <c r="A31" s="290"/>
      <c r="B31" s="301"/>
      <c r="C31" s="301"/>
      <c r="D31" s="290" t="s">
        <v>137</v>
      </c>
      <c r="G31" s="293"/>
      <c r="H31" s="291">
        <v>0.0</v>
      </c>
      <c r="I31" s="293"/>
      <c r="J31" s="293"/>
      <c r="K31" s="290"/>
    </row>
    <row r="32" ht="15.75" customHeight="1">
      <c r="A32" s="290"/>
      <c r="B32" s="89"/>
      <c r="C32" s="89"/>
      <c r="D32" s="9" t="s">
        <v>138</v>
      </c>
      <c r="G32" s="290"/>
      <c r="H32" s="297" t="str">
        <f>H28+H31</f>
        <v>2.470%</v>
      </c>
      <c r="I32" s="304"/>
      <c r="J32" s="293"/>
      <c r="K32" s="290"/>
      <c r="L32" s="293"/>
    </row>
    <row r="33" ht="15.75" customHeight="1">
      <c r="D33" s="9" t="s">
        <v>139</v>
      </c>
      <c r="E33" s="298" t="str">
        <f t="shared" ref="E33:H33" si="3">E22/E17</f>
        <v>4.364%</v>
      </c>
      <c r="F33" s="298" t="str">
        <f t="shared" si="3"/>
        <v>4.514%</v>
      </c>
      <c r="G33" s="298" t="str">
        <f t="shared" si="3"/>
        <v>4.091%</v>
      </c>
      <c r="H33" s="305" t="str">
        <f t="shared" si="3"/>
        <v>3.21%</v>
      </c>
      <c r="I33" s="293"/>
      <c r="J33" s="306"/>
      <c r="K33" s="293"/>
      <c r="L33" s="293"/>
    </row>
    <row r="34" ht="15.75" customHeight="1">
      <c r="A34" s="290"/>
      <c r="B34" s="303"/>
      <c r="C34" s="89"/>
      <c r="D34" s="9" t="s">
        <v>140</v>
      </c>
      <c r="E34" s="307" t="str">
        <f t="shared" ref="E34:H34" si="4">E19/(E19+E17)</f>
        <v>0.727</v>
      </c>
      <c r="F34" s="307" t="str">
        <f t="shared" si="4"/>
        <v>0.736</v>
      </c>
      <c r="G34" s="307" t="str">
        <f t="shared" si="4"/>
        <v>0.688</v>
      </c>
      <c r="H34" s="308" t="str">
        <f t="shared" si="4"/>
        <v>0.5403</v>
      </c>
      <c r="J34" s="309"/>
      <c r="K34" s="290"/>
    </row>
    <row r="35" ht="15.75" customHeight="1">
      <c r="A35" s="290"/>
      <c r="B35" s="89"/>
      <c r="C35" s="303"/>
      <c r="D35" s="290" t="s">
        <v>141</v>
      </c>
      <c r="E35" s="307" t="str">
        <f t="shared" ref="E35:H35" si="5">E17/(E17+E19)</f>
        <v>0.273</v>
      </c>
      <c r="F35" s="307" t="str">
        <f t="shared" si="5"/>
        <v>0.264</v>
      </c>
      <c r="G35" s="306" t="str">
        <f t="shared" si="5"/>
        <v>0.312</v>
      </c>
      <c r="H35" s="309" t="str">
        <f t="shared" si="5"/>
        <v>0.4597</v>
      </c>
      <c r="J35" s="307"/>
      <c r="K35" s="290"/>
    </row>
    <row r="36" ht="15.75" customHeight="1">
      <c r="A36" s="290"/>
      <c r="B36" s="290"/>
      <c r="C36" s="290"/>
      <c r="D36" s="9" t="s">
        <v>45</v>
      </c>
      <c r="E36" s="307" t="str">
        <f t="shared" ref="E36:H36" si="6">E17/E19</f>
        <v>0.375</v>
      </c>
      <c r="F36" s="307" t="str">
        <f t="shared" si="6"/>
        <v>0.359</v>
      </c>
      <c r="G36" s="307" t="str">
        <f t="shared" si="6"/>
        <v>0.453</v>
      </c>
      <c r="H36" s="301" t="str">
        <f t="shared" si="6"/>
        <v>0.85</v>
      </c>
      <c r="J36" s="307"/>
    </row>
    <row r="37" ht="15.75" customHeight="1">
      <c r="A37" s="290"/>
      <c r="B37" s="293"/>
      <c r="C37" s="291"/>
      <c r="D37" s="290" t="s">
        <v>142</v>
      </c>
      <c r="G37" s="310"/>
      <c r="H37" s="311" t="str">
        <f>H34*H30+H35*H32*(1-H13)</f>
        <v>4.550%</v>
      </c>
      <c r="I37" s="305"/>
      <c r="K37" s="9"/>
      <c r="L37" s="290"/>
    </row>
    <row r="38" ht="15.75" customHeight="1">
      <c r="A38" s="290"/>
      <c r="B38" s="293"/>
      <c r="C38" s="291"/>
      <c r="D38" s="290"/>
      <c r="G38" s="292"/>
      <c r="H38" s="312"/>
      <c r="I38" s="305"/>
      <c r="K38" s="9"/>
      <c r="L38" s="293"/>
    </row>
    <row r="39" ht="15.75" customHeight="1">
      <c r="A39" s="293"/>
      <c r="B39" s="293"/>
      <c r="C39" s="293"/>
      <c r="D39" s="290" t="s">
        <v>56</v>
      </c>
      <c r="G39" s="310"/>
      <c r="H39" s="311" t="str">
        <f>H34*H30+H35*H33*(1-H13)</f>
        <v>4.837%</v>
      </c>
      <c r="L39" s="290"/>
      <c r="M39" s="313"/>
    </row>
    <row r="40" ht="15.75" customHeight="1">
      <c r="A40" s="290"/>
      <c r="B40" s="293"/>
      <c r="C40" s="297"/>
      <c r="D40" s="290"/>
      <c r="E40" s="314"/>
      <c r="F40" s="310"/>
      <c r="G40" s="298"/>
      <c r="I40" s="9"/>
      <c r="J40" s="293"/>
      <c r="K40" s="297"/>
      <c r="L40" s="293"/>
    </row>
    <row r="41" ht="15.75" customHeight="1">
      <c r="A41" s="290"/>
      <c r="B41" s="293"/>
      <c r="C41" s="291"/>
      <c r="D41" s="9"/>
      <c r="E41" s="301"/>
      <c r="F41" s="301"/>
      <c r="G41" s="297"/>
      <c r="H41" s="293"/>
      <c r="I41" s="290"/>
      <c r="J41" s="293"/>
      <c r="K41" s="297"/>
      <c r="L41" s="293"/>
    </row>
    <row r="42" ht="15.75" customHeight="1">
      <c r="A42" s="9"/>
      <c r="B42" s="290"/>
      <c r="C42" s="297"/>
      <c r="D42" s="290"/>
      <c r="E42" s="310"/>
      <c r="F42" s="310"/>
      <c r="G42" s="297"/>
      <c r="H42" s="293"/>
      <c r="I42" s="290"/>
      <c r="J42" s="293"/>
      <c r="K42" s="297"/>
      <c r="L42" s="293"/>
    </row>
    <row r="43" ht="15.75" customHeight="1">
      <c r="A43" s="9"/>
      <c r="B43" s="298"/>
      <c r="C43" s="305"/>
      <c r="D43" s="290"/>
      <c r="E43" s="310"/>
      <c r="F43" s="310"/>
      <c r="G43" s="297"/>
      <c r="H43" s="290"/>
      <c r="I43" s="9"/>
      <c r="J43" s="297"/>
      <c r="K43" s="297"/>
      <c r="L43" s="293"/>
    </row>
    <row r="44" ht="15.75" customHeight="1">
      <c r="A44" s="9"/>
      <c r="B44" s="307"/>
      <c r="C44" s="307"/>
      <c r="D44" s="290"/>
      <c r="E44" s="301"/>
      <c r="F44" s="301"/>
      <c r="G44" s="306"/>
      <c r="H44" s="293"/>
      <c r="I44" s="9"/>
      <c r="J44" s="293"/>
      <c r="K44" s="306"/>
      <c r="L44" s="293"/>
    </row>
    <row r="45" ht="15.75" customHeight="1">
      <c r="A45" s="290"/>
      <c r="B45" s="306"/>
      <c r="C45" s="306"/>
      <c r="D45" s="295" t="s">
        <v>143</v>
      </c>
      <c r="E45" s="293"/>
      <c r="F45" s="293"/>
      <c r="G45" s="306"/>
      <c r="H45" s="293"/>
      <c r="I45" s="290"/>
      <c r="J45" s="293"/>
      <c r="K45" s="306"/>
      <c r="L45" s="293"/>
    </row>
    <row r="46" ht="15.75" customHeight="1">
      <c r="A46" s="9"/>
      <c r="B46" s="301"/>
      <c r="C46" s="301"/>
      <c r="D46" s="293"/>
      <c r="E46" s="293"/>
      <c r="F46" s="293"/>
      <c r="G46" s="293"/>
      <c r="H46" s="293"/>
      <c r="I46" s="9"/>
      <c r="J46" s="293"/>
      <c r="K46" s="293"/>
      <c r="L46" s="293"/>
    </row>
    <row r="47" ht="15.75" customHeight="1">
      <c r="A47" s="290"/>
      <c r="B47" s="310"/>
      <c r="C47" s="311"/>
      <c r="D47" s="290"/>
      <c r="E47" s="315">
        <v>2022.0</v>
      </c>
      <c r="F47" s="315">
        <v>2023.0</v>
      </c>
      <c r="G47" s="290" t="s">
        <v>1</v>
      </c>
      <c r="H47" s="290" t="s">
        <v>119</v>
      </c>
      <c r="L47" s="293"/>
    </row>
    <row r="48" ht="15.75" customHeight="1">
      <c r="A48" s="290"/>
      <c r="B48" s="292"/>
      <c r="C48" s="312"/>
      <c r="D48" s="290" t="s">
        <v>144</v>
      </c>
      <c r="G48" s="89">
        <v>145594.0</v>
      </c>
      <c r="H48" s="89">
        <v>132214.0</v>
      </c>
      <c r="I48" s="293"/>
      <c r="J48" s="293"/>
      <c r="K48" s="293"/>
      <c r="L48" s="293"/>
    </row>
    <row r="49" ht="15.75" customHeight="1">
      <c r="A49" s="290"/>
      <c r="B49" s="310"/>
      <c r="C49" s="311"/>
      <c r="D49" s="290" t="s">
        <v>34</v>
      </c>
      <c r="G49" s="89">
        <v>14733.0</v>
      </c>
      <c r="H49" s="89">
        <v>6682.0</v>
      </c>
      <c r="I49" s="297"/>
      <c r="J49" s="293"/>
      <c r="K49" s="290"/>
      <c r="L49" s="293"/>
    </row>
    <row r="50" ht="15.75" customHeight="1">
      <c r="A50" s="290"/>
      <c r="B50" s="314"/>
      <c r="C50" s="310"/>
      <c r="D50" s="290" t="s">
        <v>12</v>
      </c>
      <c r="G50" s="89">
        <v>21505.0</v>
      </c>
      <c r="H50" s="89">
        <v>13905.0</v>
      </c>
      <c r="I50" s="293"/>
      <c r="J50" s="293"/>
      <c r="K50" s="293"/>
      <c r="L50" s="293"/>
    </row>
    <row r="51" ht="15.75" customHeight="1">
      <c r="A51" s="9"/>
      <c r="B51" s="301"/>
      <c r="C51" s="301"/>
      <c r="D51" s="290" t="s">
        <v>121</v>
      </c>
      <c r="G51" s="89">
        <v>3738.0</v>
      </c>
      <c r="H51" s="89">
        <v>953.0</v>
      </c>
      <c r="I51" s="293"/>
      <c r="J51" s="293"/>
      <c r="K51" s="293"/>
      <c r="L51" s="293"/>
    </row>
    <row r="52" ht="15.75" customHeight="1">
      <c r="A52" s="290"/>
      <c r="B52" s="310"/>
      <c r="C52" s="310"/>
      <c r="D52" s="290" t="s">
        <v>122</v>
      </c>
      <c r="G52" s="89">
        <v>14147.0</v>
      </c>
      <c r="H52" s="89">
        <v>6284.0</v>
      </c>
      <c r="I52" s="293"/>
      <c r="J52" s="293"/>
      <c r="K52" s="293"/>
    </row>
    <row r="53" ht="15.75" customHeight="1">
      <c r="A53" s="290"/>
      <c r="B53" s="310"/>
      <c r="C53" s="310"/>
      <c r="D53" s="290" t="s">
        <v>145</v>
      </c>
      <c r="G53" s="297" t="str">
        <f t="shared" ref="G53:H53" si="7">G51/G52</f>
        <v>26.423%</v>
      </c>
      <c r="H53" s="297" t="str">
        <f t="shared" si="7"/>
        <v>15.165%</v>
      </c>
      <c r="I53" s="293"/>
      <c r="J53" s="293"/>
      <c r="K53" s="293"/>
    </row>
    <row r="54" ht="15.75" customHeight="1">
      <c r="A54" s="290"/>
      <c r="B54" s="301"/>
      <c r="C54" s="301"/>
      <c r="D54" s="290" t="s">
        <v>17</v>
      </c>
      <c r="G54" s="89">
        <v>6772.0</v>
      </c>
      <c r="H54" s="89">
        <v>7223.0</v>
      </c>
      <c r="I54" s="293"/>
      <c r="J54" s="293"/>
      <c r="K54" s="293"/>
    </row>
    <row r="55" ht="15.75" customHeight="1">
      <c r="A55" s="290"/>
      <c r="B55" s="293"/>
      <c r="C55" s="293"/>
      <c r="D55" s="290" t="s">
        <v>25</v>
      </c>
      <c r="G55" s="89">
        <v>-8665.0</v>
      </c>
      <c r="H55" s="89">
        <v>-9742.0</v>
      </c>
      <c r="I55" s="293"/>
      <c r="J55" s="293"/>
      <c r="K55" s="293"/>
    </row>
    <row r="56" ht="15.75" customHeight="1">
      <c r="A56" s="293"/>
      <c r="B56" s="293"/>
      <c r="C56" s="293"/>
      <c r="D56" s="290" t="s">
        <v>125</v>
      </c>
      <c r="G56" s="89">
        <v>6199.0</v>
      </c>
      <c r="H56" s="89">
        <v>1423.0</v>
      </c>
      <c r="I56" s="293"/>
      <c r="J56" s="293"/>
      <c r="K56" s="293"/>
    </row>
    <row r="57" ht="15.75" customHeight="1">
      <c r="A57" s="290"/>
      <c r="B57" s="290"/>
      <c r="C57" s="290"/>
      <c r="D57" s="290" t="s">
        <v>126</v>
      </c>
      <c r="E57">
        <v>84414.0</v>
      </c>
      <c r="F57">
        <v>87964.0</v>
      </c>
      <c r="G57" s="89">
        <v>93042.0</v>
      </c>
      <c r="H57" s="89">
        <v>82267.0</v>
      </c>
      <c r="I57" s="293"/>
      <c r="J57" s="293"/>
      <c r="K57" s="293"/>
    </row>
    <row r="58" ht="15.75" customHeight="1">
      <c r="A58" s="290"/>
      <c r="B58" s="89"/>
      <c r="C58" s="89"/>
      <c r="D58" s="290" t="s">
        <v>55</v>
      </c>
      <c r="G58" s="89">
        <v>69836.0</v>
      </c>
      <c r="H58" s="89">
        <v>76298.0</v>
      </c>
      <c r="I58" s="293"/>
    </row>
    <row r="59" ht="15.75" customHeight="1">
      <c r="A59" s="290"/>
      <c r="B59" s="89"/>
      <c r="C59" s="89"/>
      <c r="D59" s="290" t="s">
        <v>128</v>
      </c>
      <c r="G59" s="89">
        <v>93630.0</v>
      </c>
      <c r="H59" s="89">
        <v>94240.0</v>
      </c>
      <c r="I59" s="293"/>
    </row>
    <row r="60" ht="15.75" customHeight="1">
      <c r="A60" s="290"/>
      <c r="B60" s="89"/>
      <c r="C60" s="89"/>
      <c r="D60" s="290" t="s">
        <v>146</v>
      </c>
      <c r="G60" s="89">
        <v>15962.0</v>
      </c>
      <c r="H60" s="89">
        <v>14511.0</v>
      </c>
    </row>
    <row r="61" ht="15.75" customHeight="1">
      <c r="A61" s="290"/>
      <c r="B61" s="89"/>
      <c r="C61" s="89"/>
      <c r="D61" s="290" t="s">
        <v>147</v>
      </c>
      <c r="G61" s="293">
        <v>0.7</v>
      </c>
      <c r="H61" s="293">
        <v>0.7</v>
      </c>
    </row>
    <row r="62" ht="15.75" customHeight="1">
      <c r="A62" s="290"/>
      <c r="B62" s="89"/>
      <c r="C62" s="89"/>
      <c r="D62" s="290" t="s">
        <v>131</v>
      </c>
      <c r="E62">
        <v>427.0</v>
      </c>
      <c r="F62">
        <v>691.0</v>
      </c>
      <c r="G62" s="304">
        <v>586.0</v>
      </c>
      <c r="H62" s="304">
        <v>398.0</v>
      </c>
    </row>
    <row r="63" ht="15.75" customHeight="1">
      <c r="A63" s="290"/>
      <c r="B63" s="297"/>
      <c r="C63" s="297"/>
      <c r="D63" s="293"/>
      <c r="G63" s="293"/>
      <c r="H63" s="293"/>
    </row>
    <row r="64" ht="15.75" customHeight="1">
      <c r="A64" s="290"/>
      <c r="B64" s="89"/>
      <c r="C64" s="89"/>
      <c r="D64" s="290" t="s">
        <v>132</v>
      </c>
      <c r="G64" t="str">
        <f t="shared" ref="G64:H64" si="8">G49*(1-G53)</f>
        <v>10840.16378</v>
      </c>
      <c r="H64" t="str">
        <f t="shared" si="8"/>
        <v>5668.641311</v>
      </c>
    </row>
    <row r="65" ht="15.75" customHeight="1">
      <c r="A65" s="290"/>
      <c r="B65" s="89"/>
      <c r="C65" s="89"/>
      <c r="D65" s="290" t="s">
        <v>133</v>
      </c>
      <c r="G65" s="316" t="str">
        <f t="shared" ref="G65:H65" si="9">G64+G54-G55-G56</f>
        <v> 20,078.16 </v>
      </c>
      <c r="H65" s="316" t="str">
        <f t="shared" si="9"/>
        <v> 21,210.64 </v>
      </c>
    </row>
    <row r="66" ht="15.75" customHeight="1">
      <c r="A66" s="290"/>
      <c r="B66" s="89"/>
      <c r="C66" s="89"/>
    </row>
    <row r="67" ht="15.75" customHeight="1">
      <c r="A67" s="290"/>
      <c r="B67" s="89"/>
      <c r="C67" s="89"/>
      <c r="D67" s="9" t="s">
        <v>148</v>
      </c>
      <c r="H67" s="305">
        <v>0.0423</v>
      </c>
    </row>
    <row r="68" ht="15.75" customHeight="1">
      <c r="A68" s="290"/>
      <c r="B68" s="89"/>
      <c r="C68" s="89"/>
      <c r="D68" s="9" t="s">
        <v>135</v>
      </c>
      <c r="H68" s="305">
        <v>0.0247</v>
      </c>
    </row>
    <row r="69" ht="15.75" customHeight="1">
      <c r="A69" s="290"/>
      <c r="B69" s="89"/>
      <c r="C69" s="89"/>
    </row>
    <row r="70" ht="15.75" customHeight="1">
      <c r="A70" s="290"/>
      <c r="B70" s="89"/>
      <c r="C70" s="89"/>
      <c r="D70" s="9" t="s">
        <v>136</v>
      </c>
      <c r="H70" s="298" t="str">
        <f>H68+H61*H67</f>
        <v>5.431%</v>
      </c>
    </row>
    <row r="71" ht="15.75" customHeight="1">
      <c r="A71" s="290"/>
      <c r="B71" s="293"/>
      <c r="C71" s="293"/>
      <c r="D71" s="290" t="s">
        <v>137</v>
      </c>
      <c r="H71" s="297">
        <v>0.0</v>
      </c>
    </row>
    <row r="72" ht="15.75" customHeight="1">
      <c r="A72" s="290"/>
      <c r="B72" s="304"/>
      <c r="C72" s="304"/>
      <c r="D72" s="9" t="s">
        <v>149</v>
      </c>
      <c r="H72" s="297" t="str">
        <f>H68+H71</f>
        <v>2.470%</v>
      </c>
    </row>
    <row r="73" ht="15.75" customHeight="1">
      <c r="A73" s="293"/>
      <c r="B73" s="293"/>
      <c r="C73" s="293"/>
      <c r="D73" s="9" t="s">
        <v>139</v>
      </c>
      <c r="E73" s="298" t="str">
        <f t="shared" ref="E73:H73" si="10">E62/E57</f>
        <v>0.506%</v>
      </c>
      <c r="F73" s="298" t="str">
        <f t="shared" si="10"/>
        <v>0.786%</v>
      </c>
      <c r="G73" s="298" t="str">
        <f t="shared" si="10"/>
        <v>0.630%</v>
      </c>
      <c r="H73" s="297" t="str">
        <f t="shared" si="10"/>
        <v>0.484%</v>
      </c>
      <c r="J73" s="298"/>
    </row>
    <row r="74" ht="15.75" customHeight="1">
      <c r="A74" s="290"/>
      <c r="D74" s="9" t="s">
        <v>140</v>
      </c>
      <c r="G74" s="306" t="str">
        <f t="shared" ref="G74:H74" si="11">G59/(G59+G57)</f>
        <v>0.502</v>
      </c>
      <c r="H74" s="306" t="str">
        <f t="shared" si="11"/>
        <v>0.534</v>
      </c>
    </row>
    <row r="75" ht="15.75" customHeight="1">
      <c r="A75" s="290"/>
      <c r="D75" s="290" t="s">
        <v>141</v>
      </c>
      <c r="G75" s="306" t="str">
        <f t="shared" ref="G75:H75" si="12">G57/(G57+G59)</f>
        <v>0.498</v>
      </c>
      <c r="H75" s="306" t="str">
        <f t="shared" si="12"/>
        <v>0.466</v>
      </c>
    </row>
    <row r="76" ht="15.75" customHeight="1">
      <c r="D76" s="9" t="s">
        <v>45</v>
      </c>
      <c r="G76" t="str">
        <f t="shared" ref="G76:H76" si="13">G58/G59</f>
        <v>0.7458720496</v>
      </c>
      <c r="H76" s="293" t="str">
        <f t="shared" si="13"/>
        <v>0.8096137521</v>
      </c>
    </row>
    <row r="77" ht="15.75" customHeight="1">
      <c r="A77" s="9"/>
      <c r="C77" s="305"/>
      <c r="D77" s="290"/>
      <c r="H77" s="297"/>
    </row>
    <row r="78" ht="15.75" customHeight="1">
      <c r="A78" s="9"/>
      <c r="C78" s="305"/>
      <c r="H78" s="293"/>
    </row>
    <row r="79" ht="15.75" customHeight="1">
      <c r="D79" s="290"/>
      <c r="H79" s="297"/>
    </row>
    <row r="80" ht="15.75" customHeight="1">
      <c r="A80" s="9"/>
      <c r="C80" s="298"/>
    </row>
    <row r="81" ht="15.75" customHeight="1">
      <c r="A81" s="290"/>
      <c r="C81" s="297"/>
    </row>
    <row r="82" ht="15.75" customHeight="1">
      <c r="A82" s="9"/>
      <c r="C82" s="297"/>
    </row>
    <row r="83" ht="15.75" customHeight="1">
      <c r="A83" s="9"/>
      <c r="B83" s="298"/>
      <c r="C83" s="297"/>
    </row>
    <row r="84" ht="15.75" customHeight="1">
      <c r="A84" s="9"/>
      <c r="C84" s="306"/>
    </row>
    <row r="85" ht="15.75" customHeight="1">
      <c r="A85" s="290"/>
      <c r="C85" s="306"/>
      <c r="D85" s="317" t="s">
        <v>150</v>
      </c>
    </row>
    <row r="86" ht="15.75" customHeight="1">
      <c r="A86" s="9"/>
      <c r="C86" s="293"/>
    </row>
    <row r="87" ht="15.75" customHeight="1">
      <c r="A87" s="290"/>
      <c r="C87" s="297"/>
      <c r="G87" s="290" t="s">
        <v>1</v>
      </c>
      <c r="H87" s="290" t="s">
        <v>119</v>
      </c>
    </row>
    <row r="88" ht="15.75" customHeight="1">
      <c r="C88" s="293"/>
      <c r="D88" s="290" t="s">
        <v>144</v>
      </c>
      <c r="G88" s="300">
        <v>777102.455</v>
      </c>
      <c r="H88" s="300">
        <v>803964.958</v>
      </c>
    </row>
    <row r="89" ht="15.75" customHeight="1">
      <c r="A89" s="290"/>
      <c r="C89" s="297"/>
      <c r="D89" s="290" t="s">
        <v>34</v>
      </c>
      <c r="G89" s="300">
        <v>51774.458</v>
      </c>
      <c r="H89" s="300">
        <v>42304.706</v>
      </c>
    </row>
    <row r="90" ht="15.75" customHeight="1">
      <c r="D90" s="290" t="s">
        <v>12</v>
      </c>
      <c r="G90" s="300">
        <v>116853.507</v>
      </c>
      <c r="H90" s="300">
        <v>120875.3</v>
      </c>
    </row>
    <row r="91" ht="15.75" customHeight="1">
      <c r="D91" s="290" t="s">
        <v>121</v>
      </c>
      <c r="G91" s="300">
        <v>8092.737</v>
      </c>
      <c r="H91" s="300">
        <v>5992.291</v>
      </c>
    </row>
    <row r="92" ht="15.75" customHeight="1">
      <c r="D92" s="290" t="s">
        <v>122</v>
      </c>
      <c r="G92" s="300">
        <v>49680.677</v>
      </c>
      <c r="H92" s="300">
        <v>39753.049</v>
      </c>
    </row>
    <row r="93" ht="15.75" customHeight="1">
      <c r="D93" s="290" t="s">
        <v>145</v>
      </c>
      <c r="G93" s="298" t="str">
        <f t="shared" ref="G93:H93" si="14">G91/G92</f>
        <v>16.290%</v>
      </c>
      <c r="H93" s="298" t="str">
        <f t="shared" si="14"/>
        <v>15.074%</v>
      </c>
    </row>
    <row r="94" ht="15.75" customHeight="1">
      <c r="D94" s="290" t="s">
        <v>17</v>
      </c>
      <c r="G94" s="67">
        <v>65079.049</v>
      </c>
      <c r="H94" s="67">
        <v>78570.594</v>
      </c>
    </row>
    <row r="95" ht="15.75" customHeight="1">
      <c r="A95" s="9"/>
      <c r="D95" s="290" t="s">
        <v>25</v>
      </c>
      <c r="G95" s="67">
        <v>-97359.768</v>
      </c>
      <c r="H95" s="67">
        <v>-156807.853</v>
      </c>
    </row>
    <row r="96" ht="15.75" customHeight="1">
      <c r="D96" s="290" t="s">
        <v>125</v>
      </c>
      <c r="G96" s="67" t="str">
        <f>-125412.932-(-151545.225)</f>
        <v> 26,132.29 </v>
      </c>
      <c r="H96" s="67" t="str">
        <f>-96983.799-(-125412.932)</f>
        <v> 28,429.13 </v>
      </c>
    </row>
    <row r="97" ht="15.75" customHeight="1">
      <c r="B97" s="290"/>
      <c r="C97" s="290"/>
      <c r="D97" s="290" t="s">
        <v>126</v>
      </c>
      <c r="G97" s="67">
        <v>40459.6</v>
      </c>
      <c r="H97" s="67">
        <v>119120.64</v>
      </c>
    </row>
    <row r="98" ht="15.75" customHeight="1">
      <c r="A98" s="290"/>
      <c r="B98" s="300"/>
      <c r="C98" s="300"/>
      <c r="D98" s="290" t="s">
        <v>55</v>
      </c>
      <c r="G98" s="67" t="str">
        <f>40459.6-102738.734</f>
        <v>(62,279.13)</v>
      </c>
      <c r="H98" s="67">
        <v>28763.442</v>
      </c>
    </row>
    <row r="99" ht="15.75" customHeight="1">
      <c r="A99" s="290"/>
      <c r="B99" s="300"/>
      <c r="C99" s="300"/>
      <c r="D99" s="290" t="s">
        <v>128</v>
      </c>
      <c r="G99" s="67">
        <v>198688.209</v>
      </c>
      <c r="H99" s="67">
        <v>258539.185</v>
      </c>
    </row>
    <row r="100" ht="15.75" customHeight="1">
      <c r="A100" s="290"/>
      <c r="B100" s="300"/>
      <c r="C100" s="300"/>
      <c r="D100" s="290" t="s">
        <v>146</v>
      </c>
      <c r="G100" s="67">
        <v>102738.734</v>
      </c>
      <c r="H100" s="67">
        <v>75424.747</v>
      </c>
    </row>
    <row r="101" ht="15.75" customHeight="1">
      <c r="A101" s="290"/>
      <c r="B101" s="300"/>
      <c r="C101" s="300"/>
      <c r="D101" s="290" t="s">
        <v>147</v>
      </c>
      <c r="G101">
        <v>0.32</v>
      </c>
      <c r="H101" s="293">
        <v>0.32</v>
      </c>
    </row>
    <row r="102" ht="15.75" customHeight="1">
      <c r="A102" s="290"/>
      <c r="B102" s="300"/>
      <c r="C102" s="300"/>
      <c r="D102" s="290" t="s">
        <v>131</v>
      </c>
      <c r="G102" s="293">
        <v>2093.781</v>
      </c>
      <c r="H102" s="67">
        <v>2551.657</v>
      </c>
    </row>
    <row r="103" ht="15.75" customHeight="1">
      <c r="A103" s="290"/>
      <c r="B103" s="298"/>
      <c r="C103" s="298"/>
      <c r="D103" s="293"/>
      <c r="G103" s="293"/>
    </row>
    <row r="104" ht="15.75" customHeight="1">
      <c r="A104" s="290"/>
      <c r="B104" s="67"/>
      <c r="C104" s="67"/>
      <c r="D104" s="290" t="s">
        <v>132</v>
      </c>
      <c r="G104" t="str">
        <f t="shared" ref="G104:H104" si="15">G89*(1-G93)</f>
        <v>43340.65441</v>
      </c>
      <c r="H104" t="str">
        <f t="shared" si="15"/>
        <v>35927.78359</v>
      </c>
    </row>
    <row r="105" ht="15.75" customHeight="1">
      <c r="A105" s="290"/>
      <c r="B105" s="67"/>
      <c r="C105" s="67"/>
      <c r="D105" s="290" t="s">
        <v>133</v>
      </c>
      <c r="G105" s="316" t="str">
        <f t="shared" ref="G105:H105" si="16">G104+G94-G95-G96</f>
        <v> 179,647.18 </v>
      </c>
      <c r="H105" s="316" t="str">
        <f t="shared" si="16"/>
        <v> 242,877.10 </v>
      </c>
    </row>
    <row r="106" ht="15.75" customHeight="1">
      <c r="A106" s="290"/>
      <c r="B106" s="67"/>
      <c r="C106" s="67"/>
    </row>
    <row r="107" ht="15.75" customHeight="1">
      <c r="A107" s="290"/>
      <c r="B107" s="67"/>
      <c r="C107" s="67"/>
      <c r="D107" s="9" t="s">
        <v>151</v>
      </c>
      <c r="G107" s="290"/>
      <c r="H107" s="291">
        <v>0.0525</v>
      </c>
    </row>
    <row r="108" ht="15.75" customHeight="1">
      <c r="A108" s="290"/>
      <c r="B108" s="67"/>
      <c r="C108" s="67"/>
      <c r="D108" s="9" t="s">
        <v>152</v>
      </c>
      <c r="G108" s="293"/>
      <c r="H108" s="291">
        <v>0.0096</v>
      </c>
    </row>
    <row r="109" ht="15.75" customHeight="1">
      <c r="A109" s="290"/>
      <c r="B109" s="67"/>
      <c r="C109" s="67"/>
      <c r="G109" s="290"/>
      <c r="H109" s="290"/>
    </row>
    <row r="110" ht="15.75" customHeight="1">
      <c r="A110" s="290"/>
      <c r="B110" s="67"/>
      <c r="C110" s="67"/>
      <c r="D110" s="9" t="s">
        <v>136</v>
      </c>
      <c r="G110" s="293"/>
      <c r="H110" s="297" t="str">
        <f>H108+H101*H107</f>
        <v>2.640%</v>
      </c>
    </row>
    <row r="111" ht="15.75" customHeight="1">
      <c r="A111" s="290"/>
      <c r="C111" s="293"/>
      <c r="D111" s="290" t="s">
        <v>137</v>
      </c>
      <c r="G111" s="293"/>
      <c r="H111" s="297">
        <v>0.0069</v>
      </c>
    </row>
    <row r="112" ht="15.75" customHeight="1">
      <c r="A112" s="290"/>
      <c r="B112" s="293"/>
      <c r="C112" s="67"/>
      <c r="D112" s="290" t="s">
        <v>149</v>
      </c>
      <c r="G112" s="293"/>
      <c r="H112" s="297" t="str">
        <f>H108+H111</f>
        <v>1.650%</v>
      </c>
    </row>
    <row r="113" ht="15.75" customHeight="1">
      <c r="A113" s="293"/>
      <c r="B113" s="293"/>
      <c r="D113" s="9" t="s">
        <v>139</v>
      </c>
      <c r="G113" s="297" t="str">
        <f t="shared" ref="G113:H113" si="17">G102/G97</f>
        <v>5.175%</v>
      </c>
      <c r="H113" s="297" t="str">
        <f t="shared" si="17"/>
        <v>2.142%</v>
      </c>
    </row>
    <row r="114" ht="15.75" customHeight="1">
      <c r="A114" s="290"/>
      <c r="D114" s="9" t="s">
        <v>140</v>
      </c>
      <c r="G114" s="306" t="str">
        <f t="shared" ref="G114:H114" si="18">G99/(G99+G97)</f>
        <v>0.831</v>
      </c>
      <c r="H114" s="306" t="str">
        <f t="shared" si="18"/>
        <v>0.685</v>
      </c>
    </row>
    <row r="115" ht="15.75" customHeight="1">
      <c r="A115" s="290"/>
      <c r="D115" s="290" t="s">
        <v>141</v>
      </c>
      <c r="G115" s="306" t="str">
        <f t="shared" ref="G115:H115" si="19">G97/(G97+G99)</f>
        <v>0.169</v>
      </c>
      <c r="H115" s="306" t="str">
        <f t="shared" si="19"/>
        <v>0.315</v>
      </c>
    </row>
    <row r="116" ht="15.75" customHeight="1">
      <c r="D116" s="9" t="s">
        <v>153</v>
      </c>
      <c r="G116" s="293" t="str">
        <f>G97/G99</f>
        <v>0.2036336238</v>
      </c>
      <c r="H116" s="293" t="str">
        <f>BYD!C3</f>
        <v/>
      </c>
    </row>
    <row r="117" ht="15.75" customHeight="1">
      <c r="A117" s="9"/>
      <c r="B117" s="290"/>
      <c r="C117" s="291"/>
      <c r="D117" s="290" t="s">
        <v>142</v>
      </c>
      <c r="G117" s="293"/>
      <c r="H117" s="297" t="str">
        <f>H114*H110+H115*H112*(1-H93)</f>
        <v>2.249%</v>
      </c>
    </row>
    <row r="118" ht="15.75" customHeight="1">
      <c r="A118" s="9"/>
      <c r="B118" s="293"/>
      <c r="C118" s="291"/>
      <c r="D118" s="293"/>
      <c r="G118" s="293"/>
      <c r="H118" s="293"/>
    </row>
    <row r="119" ht="15.75" customHeight="1">
      <c r="B119" s="290"/>
      <c r="C119" s="290"/>
      <c r="D119" s="290" t="s">
        <v>56</v>
      </c>
      <c r="G119" s="293"/>
      <c r="H119" s="297" t="str">
        <f>H114*H110+H115*H113*(1-H93)</f>
        <v>2.381%</v>
      </c>
    </row>
    <row r="120" ht="15.75" customHeight="1">
      <c r="A120" s="9"/>
      <c r="B120" s="293"/>
      <c r="C120" s="297"/>
    </row>
    <row r="121" ht="15.75" customHeight="1">
      <c r="A121" s="290"/>
      <c r="B121" s="293"/>
      <c r="C121" s="297"/>
    </row>
    <row r="122" ht="15.75" customHeight="1">
      <c r="A122" s="290"/>
      <c r="B122" s="293"/>
      <c r="C122" s="297"/>
    </row>
    <row r="123" ht="15.75" customHeight="1">
      <c r="A123" s="9"/>
      <c r="B123" s="297"/>
      <c r="C123" s="297"/>
    </row>
    <row r="124" ht="15.75" customHeight="1">
      <c r="A124" s="9"/>
      <c r="B124" s="293"/>
      <c r="C124" s="306"/>
    </row>
    <row r="125" ht="15.75" customHeight="1">
      <c r="A125" s="290"/>
      <c r="B125" s="293"/>
      <c r="C125" s="306"/>
    </row>
    <row r="126" ht="15.75" customHeight="1">
      <c r="A126" s="9"/>
      <c r="B126" s="293"/>
      <c r="C126" s="293"/>
    </row>
    <row r="127" ht="15.75" customHeight="1">
      <c r="A127" s="290"/>
      <c r="B127" s="293"/>
      <c r="C127" s="297"/>
    </row>
    <row r="128" ht="15.75" customHeight="1">
      <c r="A128" s="293"/>
    </row>
    <row r="129" ht="15.75" customHeight="1">
      <c r="A129" s="290"/>
    </row>
    <row r="130" ht="15.75" customHeight="1">
      <c r="B130" s="293"/>
      <c r="F130" s="9"/>
    </row>
    <row r="131" ht="15.75" customHeight="1"/>
    <row r="132" ht="15.75" customHeight="1">
      <c r="B132" s="9"/>
      <c r="C132" s="299" t="s">
        <v>154</v>
      </c>
      <c r="G132" s="290"/>
      <c r="H132" s="290"/>
    </row>
    <row r="133" ht="15.75" customHeight="1">
      <c r="F133" s="293"/>
    </row>
    <row r="134" ht="15.75" customHeight="1">
      <c r="C134" s="290"/>
      <c r="D134" s="290"/>
      <c r="F134" s="293"/>
    </row>
    <row r="135" ht="15.75" customHeight="1">
      <c r="B135" s="293"/>
      <c r="C135" t="s">
        <v>155</v>
      </c>
      <c r="F135" s="293"/>
    </row>
    <row r="136" ht="15.75" customHeight="1">
      <c r="B136" s="293"/>
      <c r="F136" s="293"/>
    </row>
    <row r="137" ht="15.75" customHeight="1">
      <c r="B137" s="293"/>
      <c r="C137" t="s">
        <v>156</v>
      </c>
    </row>
    <row r="138" ht="15.75" customHeight="1">
      <c r="B138" s="293"/>
      <c r="F138" s="293"/>
    </row>
    <row r="139" ht="15.75" customHeight="1">
      <c r="B139" s="293"/>
      <c r="C139" t="s">
        <v>157</v>
      </c>
    </row>
    <row r="140" ht="15.75" customHeight="1">
      <c r="B140" s="293"/>
      <c r="C140" s="302" t="s">
        <v>158</v>
      </c>
      <c r="K140" s="235" t="s">
        <v>159</v>
      </c>
    </row>
    <row r="141" ht="15.75" customHeight="1">
      <c r="B141" s="293"/>
      <c r="F141" s="293"/>
    </row>
    <row r="142" ht="15.75" customHeight="1">
      <c r="B142" s="293"/>
      <c r="F142" s="293"/>
    </row>
    <row r="143" ht="15.75" customHeight="1">
      <c r="B143" s="293"/>
      <c r="F143" s="293"/>
    </row>
    <row r="144" ht="15.75" customHeight="1">
      <c r="B144" s="293"/>
      <c r="F144" s="293"/>
    </row>
    <row r="145" ht="15.75" customHeight="1">
      <c r="B145" s="293"/>
      <c r="F145" s="293"/>
    </row>
    <row r="146" ht="15.75" customHeight="1">
      <c r="B146" s="293"/>
      <c r="F146" s="293"/>
    </row>
    <row r="147" ht="15.75" customHeight="1">
      <c r="B147" s="293"/>
    </row>
    <row r="148" ht="15.75" customHeight="1">
      <c r="B148" s="293"/>
    </row>
  </sheetData>
  <hyperlinks>
    <hyperlink r:id="rId1" ref="K140"/>
  </hyperlinks>
  <printOptions/>
  <pageMargins bottom="0.75" footer="0.0" header="0.0" left="0.7" right="0.7" top="0.75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Stellantis</vt:lpstr>
      <vt:lpstr>Mercedes-Benz</vt:lpstr>
      <vt:lpstr>BYD</vt:lpstr>
      <vt:lpstr>values</vt:lpstr>
    </vt:vector>
  </TitlesOfParts>
  <LinksUpToDate>false</LinksUpToDate>
  <SharedDoc>false</SharedDoc>
  <HyperlinksChanged>false</HyperlinksChanged>
  <Application>Microsoft Macintosh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2026-04-10T09:14:54Z</dcterms:created>
  <dc:creator>Frida Strand Løken</dc:creator>
  <cp:lastModifiedBy>Frida Strand Løken</cp:lastModifiedBy>
  <dcterms:modified xsi:type="dcterms:W3CDTF">2026-04-12T23:02:48Z</dcterms:modified>
</cp:coreProperties>
</file>