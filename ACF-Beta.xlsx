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<sst xmlns="http://schemas.openxmlformats.org/spreadsheetml/2006/main" count="1266" uniqueCount="703">
  <si>
    <t>STELLANTIS</t>
  </si>
  <si>
    <t>Mercedes</t>
  </si>
  <si>
    <t>BYD</t>
  </si>
  <si>
    <t>Data</t>
  </si>
  <si>
    <t>Ultimo</t>
  </si>
  <si>
    <t>Apertura</t>
  </si>
  <si>
    <t>Massimo</t>
  </si>
  <si>
    <t>Minimo</t>
  </si>
  <si>
    <t>Vol.</t>
  </si>
  <si>
    <t>Var. %</t>
  </si>
  <si>
    <t xml:space="preserve">rendimenti </t>
  </si>
  <si>
    <t>rendimenti</t>
  </si>
  <si>
    <t>01.04.2026</t>
  </si>
  <si>
    <t>89,54M</t>
  </si>
  <si>
    <t>+8.60%</t>
  </si>
  <si>
    <t>5,23K</t>
  </si>
  <si>
    <t>+0.67%</t>
  </si>
  <si>
    <t>67,72M</t>
  </si>
  <si>
    <t>-1.80%</t>
  </si>
  <si>
    <t>01.03.2026</t>
  </si>
  <si>
    <t>737,07M</t>
  </si>
  <si>
    <t>-12.71%</t>
  </si>
  <si>
    <t>57,37K</t>
  </si>
  <si>
    <t>-11.40%</t>
  </si>
  <si>
    <t>857,32M</t>
  </si>
  <si>
    <t>+11.43%</t>
  </si>
  <si>
    <t>01.02.2026</t>
  </si>
  <si>
    <t>912,62M</t>
  </si>
  <si>
    <t>-16.23%</t>
  </si>
  <si>
    <t>107,98K</t>
  </si>
  <si>
    <t>+2.59%</t>
  </si>
  <si>
    <t>405,67M</t>
  </si>
  <si>
    <t>-2.86%</t>
  </si>
  <si>
    <t>01.01.2026</t>
  </si>
  <si>
    <t>472,12M</t>
  </si>
  <si>
    <t>-12.42%</t>
  </si>
  <si>
    <t>122,16K</t>
  </si>
  <si>
    <t>-4.67%</t>
  </si>
  <si>
    <t>489,59M</t>
  </si>
  <si>
    <t>+2.52%</t>
  </si>
  <si>
    <t>01.12.2025</t>
  </si>
  <si>
    <t>447,01M</t>
  </si>
  <si>
    <t>+2.92%</t>
  </si>
  <si>
    <t>30,78K</t>
  </si>
  <si>
    <t>+3.59%</t>
  </si>
  <si>
    <t>365,04M</t>
  </si>
  <si>
    <t>-2.21%</t>
  </si>
  <si>
    <t>01.11.2025</t>
  </si>
  <si>
    <t>410,81M</t>
  </si>
  <si>
    <t>+4.73%</t>
  </si>
  <si>
    <t>33,48K</t>
  </si>
  <si>
    <t>+3.83%</t>
  </si>
  <si>
    <t>499,95M</t>
  </si>
  <si>
    <t>-3.08%</t>
  </si>
  <si>
    <t>01.10.2025</t>
  </si>
  <si>
    <t>749,00M</t>
  </si>
  <si>
    <t>+11.62%</t>
  </si>
  <si>
    <t>89,26K</t>
  </si>
  <si>
    <t>+4.97%</t>
  </si>
  <si>
    <t>514,48M</t>
  </si>
  <si>
    <t>-8.71%</t>
  </si>
  <si>
    <t>01.09.2025</t>
  </si>
  <si>
    <t>619,18M</t>
  </si>
  <si>
    <t>-3.91%</t>
  </si>
  <si>
    <t>80,08K</t>
  </si>
  <si>
    <t>+0.36%</t>
  </si>
  <si>
    <t>951,80M</t>
  </si>
  <si>
    <t>-3.67%</t>
  </si>
  <si>
    <t>01.08.2025</t>
  </si>
  <si>
    <t>368,77M</t>
  </si>
  <si>
    <t>+5.42%</t>
  </si>
  <si>
    <t>59,36K</t>
  </si>
  <si>
    <t>+5.61%</t>
  </si>
  <si>
    <t>729,18M</t>
  </si>
  <si>
    <t>-0.87%</t>
  </si>
  <si>
    <t>01.07.2025</t>
  </si>
  <si>
    <t>638,48M</t>
  </si>
  <si>
    <t>-8.77%</t>
  </si>
  <si>
    <t>64,27K</t>
  </si>
  <si>
    <t>+1.43%</t>
  </si>
  <si>
    <t>577,50M</t>
  </si>
  <si>
    <t>-5.80%</t>
  </si>
  <si>
    <t>01.06.2025</t>
  </si>
  <si>
    <t>439,32M</t>
  </si>
  <si>
    <t>-5.09%</t>
  </si>
  <si>
    <t>44,94K</t>
  </si>
  <si>
    <t>-5.67%</t>
  </si>
  <si>
    <t>756,38M</t>
  </si>
  <si>
    <t>-6.44%</t>
  </si>
  <si>
    <t>01.05.2025</t>
  </si>
  <si>
    <t>478,64M</t>
  </si>
  <si>
    <t>+10.14%</t>
  </si>
  <si>
    <t>79,19K</t>
  </si>
  <si>
    <t>+0.19%</t>
  </si>
  <si>
    <t>765,34M</t>
  </si>
  <si>
    <t>+6.10%</t>
  </si>
  <si>
    <t>01.04.2025</t>
  </si>
  <si>
    <t>666,51M</t>
  </si>
  <si>
    <t>-20.68%</t>
  </si>
  <si>
    <t>72,29K</t>
  </si>
  <si>
    <t>-2.90%</t>
  </si>
  <si>
    <t>821,17M</t>
  </si>
  <si>
    <t>-5.75%</t>
  </si>
  <si>
    <t>01.03.2025</t>
  </si>
  <si>
    <t>449,99M</t>
  </si>
  <si>
    <t>-16.97%</t>
  </si>
  <si>
    <t>53,38K</t>
  </si>
  <si>
    <t>-9.41%</t>
  </si>
  <si>
    <t>1,18B</t>
  </si>
  <si>
    <t>+5.71%</t>
  </si>
  <si>
    <t>01.02.2025</t>
  </si>
  <si>
    <t>367,08M</t>
  </si>
  <si>
    <t>-4.64%</t>
  </si>
  <si>
    <t>61,35K</t>
  </si>
  <si>
    <t>+1.66%</t>
  </si>
  <si>
    <t>925,76M</t>
  </si>
  <si>
    <t>+36.12%</t>
  </si>
  <si>
    <t>01.01.2025</t>
  </si>
  <si>
    <t>299,02M</t>
  </si>
  <si>
    <t>+2.95%</t>
  </si>
  <si>
    <t>47,72K</t>
  </si>
  <si>
    <t>+8.74%</t>
  </si>
  <si>
    <t>279,91M</t>
  </si>
  <si>
    <t>+2.40%</t>
  </si>
  <si>
    <t>01.12.2024</t>
  </si>
  <si>
    <t>319,06M</t>
  </si>
  <si>
    <t>+0.43%</t>
  </si>
  <si>
    <t>30,09K</t>
  </si>
  <si>
    <t>296,41M</t>
  </si>
  <si>
    <t>+5.13%</t>
  </si>
  <si>
    <t>01.11.2024</t>
  </si>
  <si>
    <t>316,19M</t>
  </si>
  <si>
    <t>-0.48%</t>
  </si>
  <si>
    <t>48,58K</t>
  </si>
  <si>
    <t>-5.17%</t>
  </si>
  <si>
    <t>351,01M</t>
  </si>
  <si>
    <t>-9.88%</t>
  </si>
  <si>
    <t>01.10.2024</t>
  </si>
  <si>
    <t>364,71M</t>
  </si>
  <si>
    <t>+1.52%</t>
  </si>
  <si>
    <t>38,85K</t>
  </si>
  <si>
    <t>-3.73%</t>
  </si>
  <si>
    <t>566,18M</t>
  </si>
  <si>
    <t>-0.85%</t>
  </si>
  <si>
    <t>01.09.2024</t>
  </si>
  <si>
    <t>338,38M</t>
  </si>
  <si>
    <t>-18.03%</t>
  </si>
  <si>
    <t>67,32K</t>
  </si>
  <si>
    <t>-7.05%</t>
  </si>
  <si>
    <t>441,48M</t>
  </si>
  <si>
    <t>+17.66%</t>
  </si>
  <si>
    <t>01.08.2024</t>
  </si>
  <si>
    <t>228,48M</t>
  </si>
  <si>
    <t>-1.73%</t>
  </si>
  <si>
    <t>30,70K</t>
  </si>
  <si>
    <t>+1.98%</t>
  </si>
  <si>
    <t>353,91M</t>
  </si>
  <si>
    <t>+5.79%</t>
  </si>
  <si>
    <t>01.07.2024</t>
  </si>
  <si>
    <t>227,40M</t>
  </si>
  <si>
    <t>-16.60%</t>
  </si>
  <si>
    <t>26,09K</t>
  </si>
  <si>
    <t>356,17M</t>
  </si>
  <si>
    <t>-1.72%</t>
  </si>
  <si>
    <t>01.06.2024</t>
  </si>
  <si>
    <t>221,83M</t>
  </si>
  <si>
    <t>-8.56%</t>
  </si>
  <si>
    <t>0,80K</t>
  </si>
  <si>
    <t>-2.94%</t>
  </si>
  <si>
    <t>474,10M</t>
  </si>
  <si>
    <t>+5.65%</t>
  </si>
  <si>
    <t>01.05.2024</t>
  </si>
  <si>
    <t>226,24M</t>
  </si>
  <si>
    <t>-3.26%</t>
  </si>
  <si>
    <t>40,70K</t>
  </si>
  <si>
    <t>-7.40%</t>
  </si>
  <si>
    <t>391,79M</t>
  </si>
  <si>
    <t>+1.86%</t>
  </si>
  <si>
    <t>01.04.2024</t>
  </si>
  <si>
    <t>213,22M</t>
  </si>
  <si>
    <t>-20.74%</t>
  </si>
  <si>
    <t>48,12K</t>
  </si>
  <si>
    <t>-3.02%</t>
  </si>
  <si>
    <t>426,86M</t>
  </si>
  <si>
    <t>+6.94%</t>
  </si>
  <si>
    <t>01.03.2024</t>
  </si>
  <si>
    <t>168,37M</t>
  </si>
  <si>
    <t>+9.16%</t>
  </si>
  <si>
    <t>25,50K</t>
  </si>
  <si>
    <t>+0.23%</t>
  </si>
  <si>
    <t>549,83M</t>
  </si>
  <si>
    <t>+4.29%</t>
  </si>
  <si>
    <t>01.02.2024</t>
  </si>
  <si>
    <t>214,81M</t>
  </si>
  <si>
    <t>+17.76%</t>
  </si>
  <si>
    <t>+17.30%</t>
  </si>
  <si>
    <t>483,64M</t>
  </si>
  <si>
    <t>+10.90%</t>
  </si>
  <si>
    <t>01.01.2024</t>
  </si>
  <si>
    <t>157,81M</t>
  </si>
  <si>
    <t>-3.10%</t>
  </si>
  <si>
    <t>32,57K</t>
  </si>
  <si>
    <t>+0.18%</t>
  </si>
  <si>
    <t>644,62M</t>
  </si>
  <si>
    <t>-18.70%</t>
  </si>
  <si>
    <t>01.12.2023</t>
  </si>
  <si>
    <t>148,74M</t>
  </si>
  <si>
    <t>+6.27%</t>
  </si>
  <si>
    <t>28,40K</t>
  </si>
  <si>
    <t>+5.30%</t>
  </si>
  <si>
    <t>429,36M</t>
  </si>
  <si>
    <t>+2.10%</t>
  </si>
  <si>
    <t>01.11.2023</t>
  </si>
  <si>
    <t>181,63M</t>
  </si>
  <si>
    <t>+13.08%</t>
  </si>
  <si>
    <t>51,26K</t>
  </si>
  <si>
    <t>+7.27%</t>
  </si>
  <si>
    <t>462,06M</t>
  </si>
  <si>
    <t>-11.54%</t>
  </si>
  <si>
    <t>01.10.2023</t>
  </si>
  <si>
    <t>235,72M</t>
  </si>
  <si>
    <t>-3.35%</t>
  </si>
  <si>
    <t>18,18K</t>
  </si>
  <si>
    <t>-15.61%</t>
  </si>
  <si>
    <t>382,41M</t>
  </si>
  <si>
    <t>-1.90%</t>
  </si>
  <si>
    <t>01.09.2023</t>
  </si>
  <si>
    <t>237,22M</t>
  </si>
  <si>
    <t>+6.02%</t>
  </si>
  <si>
    <t>31,62K</t>
  </si>
  <si>
    <t>-5.89%</t>
  </si>
  <si>
    <t>342,86M</t>
  </si>
  <si>
    <t>-1.55%</t>
  </si>
  <si>
    <t>01.08.2023</t>
  </si>
  <si>
    <t>200,87M</t>
  </si>
  <si>
    <t>-7.87%</t>
  </si>
  <si>
    <t>26,57K</t>
  </si>
  <si>
    <t>-3.76%</t>
  </si>
  <si>
    <t>559,60M</t>
  </si>
  <si>
    <t>-10.81%</t>
  </si>
  <si>
    <t>01.07.2023</t>
  </si>
  <si>
    <t>217,09M</t>
  </si>
  <si>
    <t>+15.87%</t>
  </si>
  <si>
    <t>34,43K</t>
  </si>
  <si>
    <t>-1.48%</t>
  </si>
  <si>
    <t>387,69M</t>
  </si>
  <si>
    <t>+10.24%</t>
  </si>
  <si>
    <t>01.06.2023</t>
  </si>
  <si>
    <t>214,17M</t>
  </si>
  <si>
    <t>+13.45%</t>
  </si>
  <si>
    <t>45,46K</t>
  </si>
  <si>
    <t>+5.95%</t>
  </si>
  <si>
    <t>381,46M</t>
  </si>
  <si>
    <t>+5.75%</t>
  </si>
  <si>
    <t>01.05.2023</t>
  </si>
  <si>
    <t>244,87M</t>
  </si>
  <si>
    <t>-5.45%</t>
  </si>
  <si>
    <t>38,73K</t>
  </si>
  <si>
    <t>-1.18%</t>
  </si>
  <si>
    <t>402,28M</t>
  </si>
  <si>
    <t>+0.17%</t>
  </si>
  <si>
    <t>01.04.2023</t>
  </si>
  <si>
    <t>212,07M</t>
  </si>
  <si>
    <t>-10.37%</t>
  </si>
  <si>
    <t>46,36K</t>
  </si>
  <si>
    <t>-0.44%</t>
  </si>
  <si>
    <t>331,66M</t>
  </si>
  <si>
    <t>+2.70%</t>
  </si>
  <si>
    <t>01.03.2023</t>
  </si>
  <si>
    <t>258,51M</t>
  </si>
  <si>
    <t>+1.10%</t>
  </si>
  <si>
    <t>42,20K</t>
  </si>
  <si>
    <t>-2.87%</t>
  </si>
  <si>
    <t>578,92M</t>
  </si>
  <si>
    <t>+8.81%</t>
  </si>
  <si>
    <t>01.02.2023</t>
  </si>
  <si>
    <t>287,35M</t>
  </si>
  <si>
    <t>+15.15%</t>
  </si>
  <si>
    <t>47,59K</t>
  </si>
  <si>
    <t>448,12M</t>
  </si>
  <si>
    <t>-13.80%</t>
  </si>
  <si>
    <t>01.01.2023</t>
  </si>
  <si>
    <t>228,09M</t>
  </si>
  <si>
    <t>+8.38%</t>
  </si>
  <si>
    <t>37,73K</t>
  </si>
  <si>
    <t>+10.91%</t>
  </si>
  <si>
    <t>545,34M</t>
  </si>
  <si>
    <t>+27.21%</t>
  </si>
  <si>
    <t>01.12.2022</t>
  </si>
  <si>
    <t>198,31M</t>
  </si>
  <si>
    <t>-10.93%</t>
  </si>
  <si>
    <t>38,26K</t>
  </si>
  <si>
    <t>-4.88%</t>
  </si>
  <si>
    <t>543,66M</t>
  </si>
  <si>
    <t>+0.57%</t>
  </si>
  <si>
    <t>01.11.2022</t>
  </si>
  <si>
    <t>203,56M</t>
  </si>
  <si>
    <t>+9.02%</t>
  </si>
  <si>
    <t>60,82K</t>
  </si>
  <si>
    <t>+10.21%</t>
  </si>
  <si>
    <t>639,24M</t>
  </si>
  <si>
    <t>+8.99%</t>
  </si>
  <si>
    <t>01.10.2022</t>
  </si>
  <si>
    <t>201,97M</t>
  </si>
  <si>
    <t>+11.31%</t>
  </si>
  <si>
    <t>39,40K</t>
  </si>
  <si>
    <t>+12.07%</t>
  </si>
  <si>
    <t>562,17M</t>
  </si>
  <si>
    <t>-9.62%</t>
  </si>
  <si>
    <t>01.09.2022</t>
  </si>
  <si>
    <t>255,99M</t>
  </si>
  <si>
    <t>-8.10%</t>
  </si>
  <si>
    <t>29,75K</t>
  </si>
  <si>
    <t>-7.44%</t>
  </si>
  <si>
    <t>484,11M</t>
  </si>
  <si>
    <t>-19.74%</t>
  </si>
  <si>
    <t>01.08.2022</t>
  </si>
  <si>
    <t>245,59M</t>
  </si>
  <si>
    <t>-4.08%</t>
  </si>
  <si>
    <t>32,47K</t>
  </si>
  <si>
    <t>-1.65%</t>
  </si>
  <si>
    <t>464,88M</t>
  </si>
  <si>
    <t>-15.20%</t>
  </si>
  <si>
    <t>01.07.2022</t>
  </si>
  <si>
    <t>238,18M</t>
  </si>
  <si>
    <t>+18.06%</t>
  </si>
  <si>
    <t>42,35K</t>
  </si>
  <si>
    <t>+4.88%</t>
  </si>
  <si>
    <t>524,67M</t>
  </si>
  <si>
    <t>-9.04%</t>
  </si>
  <si>
    <t>01.06.2022</t>
  </si>
  <si>
    <t>245,70M</t>
  </si>
  <si>
    <t>-15.37%</t>
  </si>
  <si>
    <t>27,66K</t>
  </si>
  <si>
    <t>-16.94%</t>
  </si>
  <si>
    <t>582,49M</t>
  </si>
  <si>
    <t>+12.14%</t>
  </si>
  <si>
    <t>01.05.2022</t>
  </si>
  <si>
    <t>310,81M</t>
  </si>
  <si>
    <t>+7.33%</t>
  </si>
  <si>
    <t>41,21K</t>
  </si>
  <si>
    <t>-1.69%</t>
  </si>
  <si>
    <t>485,74M</t>
  </si>
  <si>
    <t>+18.74%</t>
  </si>
  <si>
    <t>01.04.2022</t>
  </si>
  <si>
    <t>255,73M</t>
  </si>
  <si>
    <t>-12.28%</t>
  </si>
  <si>
    <t>36,06K</t>
  </si>
  <si>
    <t>+5.51%</t>
  </si>
  <si>
    <t>343,63M</t>
  </si>
  <si>
    <t>+5.08%</t>
  </si>
  <si>
    <t>01.03.2022</t>
  </si>
  <si>
    <t>406,72M</t>
  </si>
  <si>
    <t>-9.59%</t>
  </si>
  <si>
    <t>82,43K</t>
  </si>
  <si>
    <t>-9.08%</t>
  </si>
  <si>
    <t>747,47M</t>
  </si>
  <si>
    <t>-5.48%</t>
  </si>
  <si>
    <t>01.02.2022</t>
  </si>
  <si>
    <t>289,62M</t>
  </si>
  <si>
    <t>-3.54%</t>
  </si>
  <si>
    <t>88,64K</t>
  </si>
  <si>
    <t>+0.09%</t>
  </si>
  <si>
    <t>315,88M</t>
  </si>
  <si>
    <t>+7.23%</t>
  </si>
  <si>
    <t>01.01.2022</t>
  </si>
  <si>
    <t>306,80M</t>
  </si>
  <si>
    <t>+1.70%</t>
  </si>
  <si>
    <t>80,92K</t>
  </si>
  <si>
    <t>+1.44%</t>
  </si>
  <si>
    <t>397,98M</t>
  </si>
  <si>
    <t>-16.95%</t>
  </si>
  <si>
    <t>01.12.2021</t>
  </si>
  <si>
    <t>199,10M</t>
  </si>
  <si>
    <t>86,25K</t>
  </si>
  <si>
    <t>-1.50%</t>
  </si>
  <si>
    <t>374,08M</t>
  </si>
  <si>
    <t>-12.99%</t>
  </si>
  <si>
    <t>01.11.2021</t>
  </si>
  <si>
    <t>265,98M</t>
  </si>
  <si>
    <t>-12.23%</t>
  </si>
  <si>
    <t>74,88K</t>
  </si>
  <si>
    <t>-2.39%</t>
  </si>
  <si>
    <t>489,86M</t>
  </si>
  <si>
    <t>+3.30%</t>
  </si>
  <si>
    <t>01.10.2021</t>
  </si>
  <si>
    <t>227,44M</t>
  </si>
  <si>
    <t>+4.41%</t>
  </si>
  <si>
    <t>93,26K</t>
  </si>
  <si>
    <t>+10.89%</t>
  </si>
  <si>
    <t>396,31M</t>
  </si>
  <si>
    <t>+22.06%</t>
  </si>
  <si>
    <t>01.09.2021</t>
  </si>
  <si>
    <t>358,85M</t>
  </si>
  <si>
    <t>-2.42%</t>
  </si>
  <si>
    <t>90,87K</t>
  </si>
  <si>
    <t>+8.94%</t>
  </si>
  <si>
    <t>496,12M</t>
  </si>
  <si>
    <t>-7.74%</t>
  </si>
  <si>
    <t>01.08.2021</t>
  </si>
  <si>
    <t>245,65M</t>
  </si>
  <si>
    <t>+4.58%</t>
  </si>
  <si>
    <t>67,45K</t>
  </si>
  <si>
    <t>-5.95%</t>
  </si>
  <si>
    <t>781,42M</t>
  </si>
  <si>
    <t>01.07.2021</t>
  </si>
  <si>
    <t>193,65M</t>
  </si>
  <si>
    <t>-2.20%</t>
  </si>
  <si>
    <t>75,30K</t>
  </si>
  <si>
    <t>-0.33%</t>
  </si>
  <si>
    <t>827,64M</t>
  </si>
  <si>
    <t>+2.93%</t>
  </si>
  <si>
    <t>01.06.2021</t>
  </si>
  <si>
    <t>249,76M</t>
  </si>
  <si>
    <t>+1.82%</t>
  </si>
  <si>
    <t>96,05K</t>
  </si>
  <si>
    <t>-0.89%</t>
  </si>
  <si>
    <t>771,10M</t>
  </si>
  <si>
    <t>+29.00%</t>
  </si>
  <si>
    <t>01.05.2021</t>
  </si>
  <si>
    <t>259,61M</t>
  </si>
  <si>
    <t>+17.61%</t>
  </si>
  <si>
    <t>104,77K</t>
  </si>
  <si>
    <t>+2.54%</t>
  </si>
  <si>
    <t>551,39M</t>
  </si>
  <si>
    <t>+12.29%</t>
  </si>
  <si>
    <t>STOXX Europe 600</t>
  </si>
  <si>
    <t>(Rif. Stellantis)</t>
  </si>
  <si>
    <t>DAX</t>
  </si>
  <si>
    <t>(Rif. Mercedes)</t>
  </si>
  <si>
    <t>Hang Seng Index</t>
  </si>
  <si>
    <t>(Rif. BYD)</t>
  </si>
  <si>
    <t xml:space="preserve">Rendimento </t>
  </si>
  <si>
    <t>Rendimento</t>
  </si>
  <si>
    <t>+2.31%</t>
  </si>
  <si>
    <t>138,20M</t>
  </si>
  <si>
    <t>+2.15%</t>
  </si>
  <si>
    <t>7,05B</t>
  </si>
  <si>
    <t>+1.32%</t>
  </si>
  <si>
    <t>-8.00%</t>
  </si>
  <si>
    <t>1,72B</t>
  </si>
  <si>
    <t>-10.30%</t>
  </si>
  <si>
    <t>84,46B</t>
  </si>
  <si>
    <t>-6.92%</t>
  </si>
  <si>
    <t>+3.74%</t>
  </si>
  <si>
    <t>1,33B</t>
  </si>
  <si>
    <t>+3.04%</t>
  </si>
  <si>
    <t>45,90B</t>
  </si>
  <si>
    <t>-2.76%</t>
  </si>
  <si>
    <t>+3.07%</t>
  </si>
  <si>
    <t>1,22B</t>
  </si>
  <si>
    <t>+0.20%</t>
  </si>
  <si>
    <t>72,36B</t>
  </si>
  <si>
    <t>+6.85%</t>
  </si>
  <si>
    <t>+2.84%</t>
  </si>
  <si>
    <t>946,93M</t>
  </si>
  <si>
    <t>+2.74%</t>
  </si>
  <si>
    <t>53,90B</t>
  </si>
  <si>
    <t>-0.88%</t>
  </si>
  <si>
    <t>+0.79%</t>
  </si>
  <si>
    <t>1,14B</t>
  </si>
  <si>
    <t>-0.51%</t>
  </si>
  <si>
    <t>60,48B</t>
  </si>
  <si>
    <t>-0.18%</t>
  </si>
  <si>
    <t>+2.46%</t>
  </si>
  <si>
    <t>1,11B</t>
  </si>
  <si>
    <t>+0.32%</t>
  </si>
  <si>
    <t>63,43B</t>
  </si>
  <si>
    <t>-3.53%</t>
  </si>
  <si>
    <t>+1.46%</t>
  </si>
  <si>
    <t>1,21B</t>
  </si>
  <si>
    <t>-0.09%</t>
  </si>
  <si>
    <t>78,39B</t>
  </si>
  <si>
    <t>+7.09%</t>
  </si>
  <si>
    <t>+0.74%</t>
  </si>
  <si>
    <t>1,07B</t>
  </si>
  <si>
    <t>-0.68%</t>
  </si>
  <si>
    <t>68,97B</t>
  </si>
  <si>
    <t>+1.23%</t>
  </si>
  <si>
    <t>+0.88%</t>
  </si>
  <si>
    <t>+0.65%</t>
  </si>
  <si>
    <t>78,67B</t>
  </si>
  <si>
    <t>+2.91%</t>
  </si>
  <si>
    <t>-1.33%</t>
  </si>
  <si>
    <t>1,26B</t>
  </si>
  <si>
    <t>-0.37%</t>
  </si>
  <si>
    <t>79,22B</t>
  </si>
  <si>
    <t>+3.36%</t>
  </si>
  <si>
    <t>+4.02%</t>
  </si>
  <si>
    <t>1,43B</t>
  </si>
  <si>
    <t>+6.67%</t>
  </si>
  <si>
    <t>66,94B</t>
  </si>
  <si>
    <t>+5.29%</t>
  </si>
  <si>
    <t>-1.21%</t>
  </si>
  <si>
    <t>1,98B</t>
  </si>
  <si>
    <t>+1.50%</t>
  </si>
  <si>
    <t>90,82B</t>
  </si>
  <si>
    <t>-4.33%</t>
  </si>
  <si>
    <t>-4.18%</t>
  </si>
  <si>
    <t>1,95B</t>
  </si>
  <si>
    <t>83,15B</t>
  </si>
  <si>
    <t>+0.78%</t>
  </si>
  <si>
    <t>+3.27%</t>
  </si>
  <si>
    <t>1,44B</t>
  </si>
  <si>
    <t>+3.77%</t>
  </si>
  <si>
    <t>93,96B</t>
  </si>
  <si>
    <t>+13.43%</t>
  </si>
  <si>
    <t>+6.87%</t>
  </si>
  <si>
    <t>1,42B</t>
  </si>
  <si>
    <t>52,39B</t>
  </si>
  <si>
    <t>+0.82%</t>
  </si>
  <si>
    <t>-1.06%</t>
  </si>
  <si>
    <t>56,35B</t>
  </si>
  <si>
    <t>+3.28%</t>
  </si>
  <si>
    <t>+0.96%</t>
  </si>
  <si>
    <t>+2.88%</t>
  </si>
  <si>
    <t>65,23B</t>
  </si>
  <si>
    <t>-4.40%</t>
  </si>
  <si>
    <t>-1.28%</t>
  </si>
  <si>
    <t>99,21B</t>
  </si>
  <si>
    <t>-3.86%</t>
  </si>
  <si>
    <t>-0.41%</t>
  </si>
  <si>
    <t>1,39B</t>
  </si>
  <si>
    <t>+2.21%</t>
  </si>
  <si>
    <t>77,84B</t>
  </si>
  <si>
    <t>+17.48%</t>
  </si>
  <si>
    <t>+1.33%</t>
  </si>
  <si>
    <t>95,58M</t>
  </si>
  <si>
    <t>4,75B</t>
  </si>
  <si>
    <t>+3.72%</t>
  </si>
  <si>
    <t>62,45M</t>
  </si>
  <si>
    <t>56,52B</t>
  </si>
  <si>
    <t>-2.11%</t>
  </si>
  <si>
    <t>-1.30%</t>
  </si>
  <si>
    <t>64,59M</t>
  </si>
  <si>
    <t>-1.42%</t>
  </si>
  <si>
    <t>54,37B</t>
  </si>
  <si>
    <t>-2.00%</t>
  </si>
  <si>
    <t>+2.63%</t>
  </si>
  <si>
    <t>144,01M</t>
  </si>
  <si>
    <t>+3.16%</t>
  </si>
  <si>
    <t>74,52B</t>
  </si>
  <si>
    <t>+1.78%</t>
  </si>
  <si>
    <t>-1.52%</t>
  </si>
  <si>
    <t>88,21M</t>
  </si>
  <si>
    <t>-3.03%</t>
  </si>
  <si>
    <t>60,56B</t>
  </si>
  <si>
    <t>+7.39%</t>
  </si>
  <si>
    <t>+3.65%</t>
  </si>
  <si>
    <t>75,72M</t>
  </si>
  <si>
    <t>+4.61%</t>
  </si>
  <si>
    <t>56,13B</t>
  </si>
  <si>
    <t>+1.84%</t>
  </si>
  <si>
    <t>1,47B</t>
  </si>
  <si>
    <t>44,78B</t>
  </si>
  <si>
    <t>+6.63%</t>
  </si>
  <si>
    <t>+1.39%</t>
  </si>
  <si>
    <t>+0.91%</t>
  </si>
  <si>
    <t>53,71B</t>
  </si>
  <si>
    <t>-9.16%</t>
  </si>
  <si>
    <t>1,32B</t>
  </si>
  <si>
    <t>+3.31%</t>
  </si>
  <si>
    <t>40,46B</t>
  </si>
  <si>
    <t>+0.03%</t>
  </si>
  <si>
    <t>+6.45%</t>
  </si>
  <si>
    <t>1,62B</t>
  </si>
  <si>
    <t>+9.49%</t>
  </si>
  <si>
    <t>42,52B</t>
  </si>
  <si>
    <t>-3.68%</t>
  </si>
  <si>
    <t>1,51B</t>
  </si>
  <si>
    <t>-3.75%</t>
  </si>
  <si>
    <t>40,12B</t>
  </si>
  <si>
    <t>-1.74%</t>
  </si>
  <si>
    <t>1,48B</t>
  </si>
  <si>
    <t>-3.51%</t>
  </si>
  <si>
    <t>39,87B</t>
  </si>
  <si>
    <t>-3.11%</t>
  </si>
  <si>
    <t>-2.79%</t>
  </si>
  <si>
    <t>1,35B</t>
  </si>
  <si>
    <t>-3.04%</t>
  </si>
  <si>
    <t>68,00B</t>
  </si>
  <si>
    <t>-8.45%</t>
  </si>
  <si>
    <t>+2.04%</t>
  </si>
  <si>
    <t>1,34B</t>
  </si>
  <si>
    <t>+1.85%</t>
  </si>
  <si>
    <t>49,94B</t>
  </si>
  <si>
    <t>+6.15%</t>
  </si>
  <si>
    <t>+2.25%</t>
  </si>
  <si>
    <t>1,66B</t>
  </si>
  <si>
    <t>+3.09%</t>
  </si>
  <si>
    <t>47,04B</t>
  </si>
  <si>
    <t>-3.19%</t>
  </si>
  <si>
    <t>1,52B</t>
  </si>
  <si>
    <t>-1.62%</t>
  </si>
  <si>
    <t>53,30B</t>
  </si>
  <si>
    <t>-8.35%</t>
  </si>
  <si>
    <t>+1.92%</t>
  </si>
  <si>
    <t>1,23B</t>
  </si>
  <si>
    <t>+1.88%</t>
  </si>
  <si>
    <t>40,64B</t>
  </si>
  <si>
    <t>-2.48%</t>
  </si>
  <si>
    <t>-0.71%</t>
  </si>
  <si>
    <t>2,33B</t>
  </si>
  <si>
    <t>+1.72%</t>
  </si>
  <si>
    <t>62,86B</t>
  </si>
  <si>
    <t>+3.10%</t>
  </si>
  <si>
    <t>+1.74%</t>
  </si>
  <si>
    <t>+1.57%</t>
  </si>
  <si>
    <t>40,31B</t>
  </si>
  <si>
    <t>+8.65%</t>
  </si>
  <si>
    <t>46,99B</t>
  </si>
  <si>
    <t>+10.42%</t>
  </si>
  <si>
    <t>-3.44%</t>
  </si>
  <si>
    <t>1,13B</t>
  </si>
  <si>
    <t>-3.29%</t>
  </si>
  <si>
    <t>57,62B</t>
  </si>
  <si>
    <t>+6.37%</t>
  </si>
  <si>
    <t>+6.75%</t>
  </si>
  <si>
    <t>1,46B</t>
  </si>
  <si>
    <t>+8.63%</t>
  </si>
  <si>
    <t>75,23B</t>
  </si>
  <si>
    <t>+26.62%</t>
  </si>
  <si>
    <t>+6.28%</t>
  </si>
  <si>
    <t>1,40B</t>
  </si>
  <si>
    <t>+9.41%</t>
  </si>
  <si>
    <t>45,82B</t>
  </si>
  <si>
    <t>-14.72%</t>
  </si>
  <si>
    <t>-6.57%</t>
  </si>
  <si>
    <t>1,61B</t>
  </si>
  <si>
    <t>-5.61%</t>
  </si>
  <si>
    <t>42,07B</t>
  </si>
  <si>
    <t>-13.69%</t>
  </si>
  <si>
    <t>-5.29%</t>
  </si>
  <si>
    <t>1,31B</t>
  </si>
  <si>
    <t>-4.81%</t>
  </si>
  <si>
    <t>40,16B</t>
  </si>
  <si>
    <t>-1.00%</t>
  </si>
  <si>
    <t>+7.64%</t>
  </si>
  <si>
    <t>+5.48%</t>
  </si>
  <si>
    <t>37,73B</t>
  </si>
  <si>
    <t>-7.79%</t>
  </si>
  <si>
    <t>-8.15%</t>
  </si>
  <si>
    <t>-11.15%</t>
  </si>
  <si>
    <t>51,40B</t>
  </si>
  <si>
    <t>+2.08%</t>
  </si>
  <si>
    <t>-1.56%</t>
  </si>
  <si>
    <t>1,80B</t>
  </si>
  <si>
    <t>+2.06%</t>
  </si>
  <si>
    <t>42,72B</t>
  </si>
  <si>
    <t>+1.54%</t>
  </si>
  <si>
    <t>-1.20%</t>
  </si>
  <si>
    <t>1,65B</t>
  </si>
  <si>
    <t>39,46B</t>
  </si>
  <si>
    <t>-4.13%</t>
  </si>
  <si>
    <t>+0.61%</t>
  </si>
  <si>
    <t>2,77B</t>
  </si>
  <si>
    <t>-0.32%</t>
  </si>
  <si>
    <t>71,31B</t>
  </si>
  <si>
    <t>-3.15%</t>
  </si>
  <si>
    <t>-3.36%</t>
  </si>
  <si>
    <t>2,03B</t>
  </si>
  <si>
    <t>-6.53%</t>
  </si>
  <si>
    <t>36,90B</t>
  </si>
  <si>
    <t>-4.58%</t>
  </si>
  <si>
    <t>-4.06%</t>
  </si>
  <si>
    <t>-2.60%</t>
  </si>
  <si>
    <t>41,54B</t>
  </si>
  <si>
    <t>+1.73%</t>
  </si>
  <si>
    <t>+5.56%</t>
  </si>
  <si>
    <t>+5.20%</t>
  </si>
  <si>
    <t>35,48B</t>
  </si>
  <si>
    <t>-2.64%</t>
  </si>
  <si>
    <t>1,64B</t>
  </si>
  <si>
    <t>36,87B</t>
  </si>
  <si>
    <t>-7.49%</t>
  </si>
  <si>
    <t>+4.55%</t>
  </si>
  <si>
    <t>+2.81%</t>
  </si>
  <si>
    <t>33,22B</t>
  </si>
  <si>
    <t>+3.26%</t>
  </si>
  <si>
    <t>-3.41%</t>
  </si>
  <si>
    <t>-3.63%</t>
  </si>
  <si>
    <t>47,17B</t>
  </si>
  <si>
    <t>-5.04%</t>
  </si>
  <si>
    <t>1,03B</t>
  </si>
  <si>
    <t>+1.87%</t>
  </si>
  <si>
    <t>42,63B</t>
  </si>
  <si>
    <t>+1.97%</t>
  </si>
  <si>
    <t>49,24B</t>
  </si>
  <si>
    <t>-9.94%</t>
  </si>
  <si>
    <t>+1.36%</t>
  </si>
  <si>
    <t>+0.71%</t>
  </si>
  <si>
    <t>45,38B</t>
  </si>
  <si>
    <t>-1.11%</t>
  </si>
  <si>
    <t>+2.14%</t>
  </si>
  <si>
    <t>44,19B</t>
  </si>
  <si>
    <t>+1.49%</t>
  </si>
  <si>
    <t>Date</t>
  </si>
  <si>
    <t>Rendimento HSI</t>
  </si>
  <si>
    <t>Rendimenti BYD</t>
  </si>
  <si>
    <t>Rendimento Stoxx</t>
  </si>
  <si>
    <t>Rendimento Stellantis</t>
  </si>
  <si>
    <t>Rendimento DAX</t>
  </si>
  <si>
    <t>Rendimento Mercedes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</si>
</sst>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9">
    <font>
      <sz val="12.0"/>
      <color/>
      <name val="Arial"/>
      <scheme val="minor"/>
    </font>
    <font>
      <b/>
      <u/>
      <sz val="12.0"/>
      <color/>
      <name val="Aptos Narrow"/>
    </font>
    <font>
      <b/>
      <u/>
      <sz val="12.0"/>
      <color/>
      <name val="Aptos Narrow (Corpo)"/>
    </font>
    <font>
      <sz val="12.0"/>
      <color/>
      <name val="Aptos Narrow"/>
    </font>
    <font>
      <sz val="12.0"/>
      <color rgb="FF232526"/>
      <name val="Helvetica Neue"/>
    </font>
    <font>
      <b/>
      <sz val="12.0"/>
      <color/>
      <name val="Aptos Narrow"/>
    </font>
    <font>
      <b/>
      <sz val="12.0"/>
      <color rgb="FF232526"/>
      <name val="Helvetica Neue"/>
    </font>
    <font>
      <sz val="14.0"/>
      <color rgb="FF232526"/>
      <name val="Helvetica Neue"/>
    </font>
    <font>
      <b/>
      <u/>
      <sz val="12.0"/>
      <color rgb="FF232526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164" xfId="0" applyFont="1" applyNumberFormat="1"/>
    <xf borderId="0" fillId="0" fontId="6" numFmtId="0" xfId="0" applyFont="1"/>
    <xf borderId="0" fillId="0" fontId="7" numFmtId="0" xfId="0" applyFont="1"/>
    <xf borderId="1" fillId="2" fontId="8" numFmtId="0" xfId="0" applyBorder="1" applyFont="1"/>
    <xf borderId="1" fillId="2" fontId="3" numFmtId="0" xfId="0" applyBorder="1" applyFont="1"/>
    <xf borderId="0" fillId="0" fontId="4" numFmtId="4" xfId="0" applyFont="1" applyNumberFormat="1"/>
    <xf borderId="1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Stellantis &amp; STOXX dispersion - last 5 years (monthly frame) </a:t>
            </a:r>
          </a:p>
        </c:rich>
      </c:tx>
      <c:layout>
        <c:manualLayout>
          <c:xMode val="edge"/>
          <c:yMode val="edge"/>
          <c:x val="0.15400465110264616"/>
          <c:y val="0.02323286491278137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Foglio1!$D$134:$D$192</c:f>
            </c:numRef>
          </c:xVal>
          <c:yVal>
            <c:numRef>
              <c:f>Foglio1!$F$134:$F$192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33165"/>
        <c:axId val="1810312956"/>
      </c:scatterChart>
      <c:valAx>
        <c:axId val="7635331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0312956"/>
      </c:valAx>
      <c:valAx>
        <c:axId val="1810312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353316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Mercedes &amp; DAX dispersion - last 5 years (monthly frame)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Foglio1!$M$134:$M$192</c:f>
            </c:numRef>
          </c:xVal>
          <c:yVal>
            <c:numRef>
              <c:f>Foglio1!$O$134:$O$192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855427"/>
        <c:axId val="1242970621"/>
      </c:scatterChart>
      <c:valAx>
        <c:axId val="1866855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2970621"/>
      </c:valAx>
      <c:valAx>
        <c:axId val="1242970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685542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BYD &amp; HSI dispersion - last 5 years (monthly frame)</a:t>
            </a:r>
          </a:p>
        </c:rich>
      </c:tx>
      <c:overlay val="0"/>
    </c:title>
    <c:plotArea>
      <c:layout>
        <c:manualLayout>
          <c:xMode val="edge"/>
          <c:yMode val="edge"/>
          <c:x val="0.06759464366891862"/>
          <c:y val="0.16916918236506412"/>
          <c:w val="0.8462152230971128"/>
          <c:h val="0.777384076990376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Foglio1!$V$133:$V$191</c:f>
            </c:numRef>
          </c:xVal>
          <c:yVal>
            <c:numRef>
              <c:f>Foglio1!$X$133:$X$191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986694"/>
        <c:axId val="882704067"/>
      </c:scatterChart>
      <c:valAx>
        <c:axId val="16439866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2704067"/>
      </c:valAx>
      <c:valAx>
        <c:axId val="882704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398669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200</xdr:row>
      <xdr:rowOff>28575</xdr:rowOff>
    </xdr:from>
    <xdr:ext cx="5095875" cy="3771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95250</xdr:colOff>
      <xdr:row>199</xdr:row>
      <xdr:rowOff>161925</xdr:rowOff>
    </xdr:from>
    <xdr:ext cx="5257800" cy="37719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504825</xdr:colOff>
      <xdr:row>199</xdr:row>
      <xdr:rowOff>104775</xdr:rowOff>
    </xdr:from>
    <xdr:ext cx="5324475" cy="3914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38"/>
    <col customWidth="1" min="9" max="9" width="10.38"/>
    <col customWidth="1" min="10" max="27" width="9.38"/>
  </cols>
  <sheetData>
    <row r="1" ht="15.75" customHeight="1"/>
    <row r="2" ht="15.75" customHeight="1"/>
    <row r="3" ht="15.75" customHeight="1">
      <c r="B3" s="1" t="s">
        <v>0</v>
      </c>
      <c r="K3" s="1" t="s">
        <v>1</v>
      </c>
      <c r="T3" s="2" t="s">
        <v>2</v>
      </c>
    </row>
    <row r="4" ht="15.75" customHeight="1"/>
    <row r="5" ht="15.75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K5" s="4" t="s">
        <v>3</v>
      </c>
      <c r="L5" s="4" t="s">
        <v>4</v>
      </c>
      <c r="M5" s="4" t="s">
        <v>5</v>
      </c>
      <c r="N5" s="4" t="s">
        <v>6</v>
      </c>
      <c r="O5" s="4" t="s">
        <v>7</v>
      </c>
      <c r="P5" s="4" t="s">
        <v>8</v>
      </c>
      <c r="Q5" s="4" t="s">
        <v>9</v>
      </c>
      <c r="R5" s="4" t="s">
        <v>11</v>
      </c>
      <c r="T5" s="4" t="s">
        <v>3</v>
      </c>
      <c r="U5" s="4" t="s">
        <v>4</v>
      </c>
      <c r="V5" s="4" t="s">
        <v>5</v>
      </c>
      <c r="W5" s="4" t="s">
        <v>6</v>
      </c>
      <c r="X5" s="4" t="s">
        <v>7</v>
      </c>
      <c r="Y5" s="4" t="s">
        <v>8</v>
      </c>
      <c r="Z5" s="4" t="s">
        <v>9</v>
      </c>
      <c r="AA5" s="4" t="s">
        <v>10</v>
      </c>
    </row>
    <row r="6" ht="15.75" customHeight="1">
      <c r="B6" s="3" t="s">
        <v>12</v>
      </c>
      <c r="C6">
        <v>6.58</v>
      </c>
      <c r="D6">
        <v>6.22</v>
      </c>
      <c r="E6">
        <v>6.594</v>
      </c>
      <c r="F6">
        <v>6.191</v>
      </c>
      <c r="G6" t="s">
        <v>13</v>
      </c>
      <c r="H6" s="5" t="s">
        <v>14</v>
      </c>
      <c r="I6" s="6" t="str">
        <f t="shared" ref="I6:I64" si="1">(C7/C6)-1</f>
        <v>-7.918%</v>
      </c>
      <c r="K6" s="4" t="s">
        <v>12</v>
      </c>
      <c r="L6" s="4">
        <v>52.67</v>
      </c>
      <c r="M6" s="4">
        <v>53.85</v>
      </c>
      <c r="N6" s="4">
        <v>53.85</v>
      </c>
      <c r="O6" s="4">
        <v>51.94</v>
      </c>
      <c r="P6" s="4" t="s">
        <v>15</v>
      </c>
      <c r="Q6" s="7" t="s">
        <v>16</v>
      </c>
      <c r="R6" s="6" t="str">
        <f t="shared" ref="R6:R64" si="2">(L7/L6)-1</f>
        <v>-0.665%</v>
      </c>
      <c r="T6" s="4" t="s">
        <v>12</v>
      </c>
      <c r="U6" s="4">
        <v>103.9</v>
      </c>
      <c r="V6" s="4">
        <v>106.9</v>
      </c>
      <c r="W6" s="4">
        <v>107.6</v>
      </c>
      <c r="X6" s="4">
        <v>101.6</v>
      </c>
      <c r="Y6" s="4" t="s">
        <v>17</v>
      </c>
      <c r="Z6" s="7" t="s">
        <v>18</v>
      </c>
      <c r="AA6" s="6" t="str">
        <f t="shared" ref="AA6:AA64" si="3">(U7/U6)-1</f>
        <v>1.829%</v>
      </c>
    </row>
    <row r="7" ht="15.75" customHeight="1">
      <c r="B7" s="3" t="s">
        <v>19</v>
      </c>
      <c r="C7">
        <v>6.059</v>
      </c>
      <c r="D7">
        <v>6.614</v>
      </c>
      <c r="E7">
        <v>6.685</v>
      </c>
      <c r="F7">
        <v>5.306</v>
      </c>
      <c r="G7" t="s">
        <v>20</v>
      </c>
      <c r="H7" s="5" t="s">
        <v>21</v>
      </c>
      <c r="I7" s="6" t="str">
        <f t="shared" si="1"/>
        <v>14.557%</v>
      </c>
      <c r="K7" s="4" t="s">
        <v>19</v>
      </c>
      <c r="L7" s="4">
        <v>52.32</v>
      </c>
      <c r="M7" s="4">
        <v>57.25</v>
      </c>
      <c r="N7" s="4">
        <v>57.81</v>
      </c>
      <c r="O7" s="4">
        <v>49.8</v>
      </c>
      <c r="P7" s="4" t="s">
        <v>22</v>
      </c>
      <c r="Q7" s="7" t="s">
        <v>23</v>
      </c>
      <c r="R7" s="6" t="str">
        <f t="shared" si="2"/>
        <v>12.863%</v>
      </c>
      <c r="T7" s="4" t="s">
        <v>19</v>
      </c>
      <c r="U7" s="4">
        <v>105.8</v>
      </c>
      <c r="V7" s="4">
        <v>93.0</v>
      </c>
      <c r="W7" s="4">
        <v>109.0</v>
      </c>
      <c r="X7" s="4">
        <v>90.4</v>
      </c>
      <c r="Y7" s="4" t="s">
        <v>24</v>
      </c>
      <c r="Z7" s="7" t="s">
        <v>25</v>
      </c>
      <c r="AA7" s="6" t="str">
        <f t="shared" si="3"/>
        <v>-10.255%</v>
      </c>
    </row>
    <row r="8" ht="15.75" customHeight="1">
      <c r="B8" s="3" t="s">
        <v>26</v>
      </c>
      <c r="C8">
        <v>6.941</v>
      </c>
      <c r="D8">
        <v>8.22</v>
      </c>
      <c r="E8">
        <v>8.816</v>
      </c>
      <c r="F8">
        <v>5.73</v>
      </c>
      <c r="G8" t="s">
        <v>27</v>
      </c>
      <c r="H8" s="5" t="s">
        <v>28</v>
      </c>
      <c r="I8" s="6" t="str">
        <f t="shared" si="1"/>
        <v>19.378%</v>
      </c>
      <c r="K8" s="4" t="s">
        <v>26</v>
      </c>
      <c r="L8" s="4">
        <v>59.05</v>
      </c>
      <c r="M8" s="4">
        <v>57.96</v>
      </c>
      <c r="N8" s="4">
        <v>61.22</v>
      </c>
      <c r="O8" s="4">
        <v>54.69</v>
      </c>
      <c r="P8" s="4" t="s">
        <v>29</v>
      </c>
      <c r="Q8" s="7" t="s">
        <v>30</v>
      </c>
      <c r="R8" s="6" t="str">
        <f t="shared" si="2"/>
        <v>-2.523%</v>
      </c>
      <c r="T8" s="4" t="s">
        <v>26</v>
      </c>
      <c r="U8" s="4">
        <v>94.95</v>
      </c>
      <c r="V8" s="4">
        <v>96.45</v>
      </c>
      <c r="W8" s="4">
        <v>101.1</v>
      </c>
      <c r="X8" s="4">
        <v>88.5</v>
      </c>
      <c r="Y8" s="4" t="s">
        <v>31</v>
      </c>
      <c r="Z8" s="7" t="s">
        <v>32</v>
      </c>
      <c r="AA8" s="6" t="str">
        <f t="shared" si="3"/>
        <v>2.949%</v>
      </c>
    </row>
    <row r="9" ht="15.75" customHeight="1">
      <c r="B9" s="3" t="s">
        <v>33</v>
      </c>
      <c r="C9">
        <v>8.286</v>
      </c>
      <c r="D9">
        <v>9.4</v>
      </c>
      <c r="E9">
        <v>9.851</v>
      </c>
      <c r="F9">
        <v>8.01</v>
      </c>
      <c r="G9" t="s">
        <v>34</v>
      </c>
      <c r="H9" s="5" t="s">
        <v>35</v>
      </c>
      <c r="I9" s="6" t="str">
        <f t="shared" si="1"/>
        <v>14.181%</v>
      </c>
      <c r="K9" s="4" t="s">
        <v>33</v>
      </c>
      <c r="L9" s="4">
        <v>57.56</v>
      </c>
      <c r="M9" s="4">
        <v>60.19</v>
      </c>
      <c r="N9" s="4">
        <v>62.3</v>
      </c>
      <c r="O9" s="4">
        <v>54.94</v>
      </c>
      <c r="P9" s="4" t="s">
        <v>36</v>
      </c>
      <c r="Q9" s="7" t="s">
        <v>37</v>
      </c>
      <c r="R9" s="6" t="str">
        <f t="shared" si="2"/>
        <v>4.899%</v>
      </c>
      <c r="T9" s="4" t="s">
        <v>33</v>
      </c>
      <c r="U9" s="4">
        <v>97.75</v>
      </c>
      <c r="V9" s="4">
        <v>96.0</v>
      </c>
      <c r="W9" s="4">
        <v>103.0</v>
      </c>
      <c r="X9" s="4">
        <v>93.8</v>
      </c>
      <c r="Y9" s="4" t="s">
        <v>38</v>
      </c>
      <c r="Z9" s="7" t="s">
        <v>39</v>
      </c>
      <c r="AA9" s="6" t="str">
        <f t="shared" si="3"/>
        <v>-2.455%</v>
      </c>
    </row>
    <row r="10" ht="15.75" customHeight="1">
      <c r="B10" s="3" t="s">
        <v>40</v>
      </c>
      <c r="C10">
        <v>9.461</v>
      </c>
      <c r="D10">
        <v>9.102</v>
      </c>
      <c r="E10">
        <v>10.494</v>
      </c>
      <c r="F10">
        <v>9.027</v>
      </c>
      <c r="G10" t="s">
        <v>41</v>
      </c>
      <c r="H10" s="5" t="s">
        <v>42</v>
      </c>
      <c r="I10" s="6" t="str">
        <f t="shared" si="1"/>
        <v>-2.833%</v>
      </c>
      <c r="K10" s="4" t="s">
        <v>40</v>
      </c>
      <c r="L10" s="4">
        <v>60.38</v>
      </c>
      <c r="M10" s="4">
        <v>58.48</v>
      </c>
      <c r="N10" s="4">
        <v>62.6</v>
      </c>
      <c r="O10" s="4">
        <v>56.15</v>
      </c>
      <c r="P10" s="4" t="s">
        <v>43</v>
      </c>
      <c r="Q10" s="7" t="s">
        <v>44</v>
      </c>
      <c r="R10" s="6" t="str">
        <f t="shared" si="2"/>
        <v>-3.461%</v>
      </c>
      <c r="T10" s="4" t="s">
        <v>40</v>
      </c>
      <c r="U10" s="4">
        <v>95.35</v>
      </c>
      <c r="V10" s="4">
        <v>97.95</v>
      </c>
      <c r="W10" s="4">
        <v>101.9</v>
      </c>
      <c r="X10" s="4">
        <v>92.5</v>
      </c>
      <c r="Y10" s="4" t="s">
        <v>45</v>
      </c>
      <c r="Z10" s="7" t="s">
        <v>46</v>
      </c>
      <c r="AA10" s="6" t="str">
        <f t="shared" si="3"/>
        <v>2.255%</v>
      </c>
    </row>
    <row r="11" ht="15.75" customHeight="1">
      <c r="B11" s="3" t="s">
        <v>47</v>
      </c>
      <c r="C11">
        <v>9.193</v>
      </c>
      <c r="D11">
        <v>8.8</v>
      </c>
      <c r="E11">
        <v>9.496</v>
      </c>
      <c r="F11">
        <v>8.003</v>
      </c>
      <c r="G11" t="s">
        <v>48</v>
      </c>
      <c r="H11" s="5" t="s">
        <v>49</v>
      </c>
      <c r="I11" s="6" t="str">
        <f t="shared" si="1"/>
        <v>-4.514%</v>
      </c>
      <c r="K11" s="4" t="s">
        <v>47</v>
      </c>
      <c r="L11" s="4">
        <v>58.29</v>
      </c>
      <c r="M11" s="4">
        <v>57.44</v>
      </c>
      <c r="N11" s="4">
        <v>60.06</v>
      </c>
      <c r="O11" s="4">
        <v>55.84</v>
      </c>
      <c r="P11" s="4" t="s">
        <v>50</v>
      </c>
      <c r="Q11" s="7" t="s">
        <v>51</v>
      </c>
      <c r="R11" s="6" t="str">
        <f t="shared" si="2"/>
        <v>-3.688%</v>
      </c>
      <c r="T11" s="4" t="s">
        <v>47</v>
      </c>
      <c r="U11" s="4">
        <v>97.5</v>
      </c>
      <c r="V11" s="4">
        <v>100.6</v>
      </c>
      <c r="W11" s="4">
        <v>103.3</v>
      </c>
      <c r="X11" s="4">
        <v>92.15</v>
      </c>
      <c r="Y11" s="4" t="s">
        <v>52</v>
      </c>
      <c r="Z11" s="7" t="s">
        <v>53</v>
      </c>
      <c r="AA11" s="6" t="str">
        <f t="shared" si="3"/>
        <v>3.179%</v>
      </c>
    </row>
    <row r="12" ht="15.75" customHeight="1">
      <c r="B12" s="3" t="s">
        <v>54</v>
      </c>
      <c r="C12">
        <v>8.778</v>
      </c>
      <c r="D12">
        <v>7.83</v>
      </c>
      <c r="E12">
        <v>9.918</v>
      </c>
      <c r="F12">
        <v>7.821</v>
      </c>
      <c r="G12" t="s">
        <v>55</v>
      </c>
      <c r="H12" s="5" t="s">
        <v>56</v>
      </c>
      <c r="I12" s="6" t="str">
        <f t="shared" si="1"/>
        <v>-10.412%</v>
      </c>
      <c r="K12" s="4" t="s">
        <v>54</v>
      </c>
      <c r="L12" s="4">
        <v>56.14</v>
      </c>
      <c r="M12" s="4">
        <v>53.73</v>
      </c>
      <c r="N12" s="4">
        <v>58.85</v>
      </c>
      <c r="O12" s="4">
        <v>52.03</v>
      </c>
      <c r="P12" s="4" t="s">
        <v>57</v>
      </c>
      <c r="Q12" s="7" t="s">
        <v>58</v>
      </c>
      <c r="R12" s="6" t="str">
        <f t="shared" si="2"/>
        <v>-4.738%</v>
      </c>
      <c r="T12" s="4" t="s">
        <v>54</v>
      </c>
      <c r="U12" s="4">
        <v>100.6</v>
      </c>
      <c r="V12" s="4">
        <v>110.2</v>
      </c>
      <c r="W12" s="4">
        <v>114.7</v>
      </c>
      <c r="X12" s="4">
        <v>97.5</v>
      </c>
      <c r="Y12" s="4" t="s">
        <v>59</v>
      </c>
      <c r="Z12" s="7" t="s">
        <v>60</v>
      </c>
      <c r="AA12" s="6" t="str">
        <f t="shared" si="3"/>
        <v>9.543%</v>
      </c>
    </row>
    <row r="13" ht="15.75" customHeight="1">
      <c r="B13" s="3" t="s">
        <v>61</v>
      </c>
      <c r="C13">
        <v>7.864</v>
      </c>
      <c r="D13">
        <v>8.24</v>
      </c>
      <c r="E13">
        <v>8.813</v>
      </c>
      <c r="F13">
        <v>7.414</v>
      </c>
      <c r="G13" t="s">
        <v>62</v>
      </c>
      <c r="H13" s="5" t="s">
        <v>63</v>
      </c>
      <c r="I13" s="6" t="str">
        <f t="shared" si="1"/>
        <v>4.069%</v>
      </c>
      <c r="K13" s="4" t="s">
        <v>61</v>
      </c>
      <c r="L13" s="4">
        <v>53.48</v>
      </c>
      <c r="M13" s="4">
        <v>53.47</v>
      </c>
      <c r="N13" s="4">
        <v>53.94</v>
      </c>
      <c r="O13" s="4">
        <v>49.79</v>
      </c>
      <c r="P13" s="4" t="s">
        <v>64</v>
      </c>
      <c r="Q13" s="7" t="s">
        <v>65</v>
      </c>
      <c r="R13" s="6" t="str">
        <f t="shared" si="2"/>
        <v>-0.355%</v>
      </c>
      <c r="T13" s="4" t="s">
        <v>61</v>
      </c>
      <c r="U13" s="4">
        <v>110.2</v>
      </c>
      <c r="V13" s="4">
        <v>105.2</v>
      </c>
      <c r="W13" s="4">
        <v>115.4</v>
      </c>
      <c r="X13" s="4">
        <v>102.8</v>
      </c>
      <c r="Y13" s="4" t="s">
        <v>66</v>
      </c>
      <c r="Z13" s="7" t="s">
        <v>67</v>
      </c>
      <c r="AA13" s="6" t="str">
        <f t="shared" si="3"/>
        <v>3.811%</v>
      </c>
    </row>
    <row r="14" ht="15.75" customHeight="1">
      <c r="B14" s="3" t="s">
        <v>68</v>
      </c>
      <c r="C14">
        <v>8.184</v>
      </c>
      <c r="D14">
        <v>7.721</v>
      </c>
      <c r="E14">
        <v>8.7</v>
      </c>
      <c r="F14">
        <v>7.451</v>
      </c>
      <c r="G14" t="s">
        <v>69</v>
      </c>
      <c r="H14" s="5" t="s">
        <v>70</v>
      </c>
      <c r="I14" s="6" t="str">
        <f t="shared" si="1"/>
        <v>-5.144%</v>
      </c>
      <c r="K14" s="4" t="s">
        <v>68</v>
      </c>
      <c r="L14" s="4">
        <v>53.29</v>
      </c>
      <c r="M14" s="4">
        <v>50.01</v>
      </c>
      <c r="N14" s="4">
        <v>55.25</v>
      </c>
      <c r="O14" s="4">
        <v>48.71</v>
      </c>
      <c r="P14" s="4" t="s">
        <v>71</v>
      </c>
      <c r="Q14" s="7" t="s">
        <v>72</v>
      </c>
      <c r="R14" s="6" t="str">
        <f t="shared" si="2"/>
        <v>-5.311%</v>
      </c>
      <c r="T14" s="4" t="s">
        <v>68</v>
      </c>
      <c r="U14" s="4">
        <v>114.4</v>
      </c>
      <c r="V14" s="4">
        <v>114.1</v>
      </c>
      <c r="W14" s="4">
        <v>120.8</v>
      </c>
      <c r="X14" s="4">
        <v>109.3</v>
      </c>
      <c r="Y14" s="4" t="s">
        <v>73</v>
      </c>
      <c r="Z14" s="7" t="s">
        <v>74</v>
      </c>
      <c r="AA14" s="6" t="str">
        <f t="shared" si="3"/>
        <v>0.874%</v>
      </c>
    </row>
    <row r="15" ht="15.75" customHeight="1">
      <c r="B15" s="3" t="s">
        <v>75</v>
      </c>
      <c r="C15">
        <v>7.763</v>
      </c>
      <c r="D15">
        <v>8.5</v>
      </c>
      <c r="E15">
        <v>9.017</v>
      </c>
      <c r="F15">
        <v>7.612</v>
      </c>
      <c r="G15" t="s">
        <v>76</v>
      </c>
      <c r="H15" s="5" t="s">
        <v>77</v>
      </c>
      <c r="I15" s="6" t="str">
        <f t="shared" si="1"/>
        <v>9.610%</v>
      </c>
      <c r="K15" s="4" t="s">
        <v>75</v>
      </c>
      <c r="L15" s="4">
        <v>50.46</v>
      </c>
      <c r="M15" s="4">
        <v>49.78</v>
      </c>
      <c r="N15" s="4">
        <v>57.0</v>
      </c>
      <c r="O15" s="4">
        <v>48.56</v>
      </c>
      <c r="P15" s="4" t="s">
        <v>78</v>
      </c>
      <c r="Q15" s="7" t="s">
        <v>79</v>
      </c>
      <c r="R15" s="6" t="str">
        <f t="shared" si="2"/>
        <v>-1.407%</v>
      </c>
      <c r="T15" s="4" t="s">
        <v>75</v>
      </c>
      <c r="U15" s="4">
        <v>115.4</v>
      </c>
      <c r="V15" s="4">
        <v>125.0</v>
      </c>
      <c r="W15" s="4">
        <v>136.3</v>
      </c>
      <c r="X15" s="4">
        <v>115.4</v>
      </c>
      <c r="Y15" s="4" t="s">
        <v>80</v>
      </c>
      <c r="Z15" s="7" t="s">
        <v>81</v>
      </c>
      <c r="AA15" s="6" t="str">
        <f t="shared" si="3"/>
        <v>6.153%</v>
      </c>
    </row>
    <row r="16" ht="15.75" customHeight="1">
      <c r="B16" s="3" t="s">
        <v>82</v>
      </c>
      <c r="C16">
        <v>8.509</v>
      </c>
      <c r="D16">
        <v>8.832</v>
      </c>
      <c r="E16">
        <v>9.25</v>
      </c>
      <c r="F16">
        <v>7.714</v>
      </c>
      <c r="G16" t="s">
        <v>83</v>
      </c>
      <c r="H16" s="5" t="s">
        <v>84</v>
      </c>
      <c r="I16" s="6" t="str">
        <f t="shared" si="1"/>
        <v>5.359%</v>
      </c>
      <c r="K16" s="4" t="s">
        <v>82</v>
      </c>
      <c r="L16" s="4">
        <v>49.75</v>
      </c>
      <c r="M16" s="4">
        <v>51.7</v>
      </c>
      <c r="N16" s="4">
        <v>52.62</v>
      </c>
      <c r="O16" s="4">
        <v>47.93</v>
      </c>
      <c r="P16" s="4" t="s">
        <v>85</v>
      </c>
      <c r="Q16" s="7" t="s">
        <v>86</v>
      </c>
      <c r="R16" s="6" t="str">
        <f t="shared" si="2"/>
        <v>6.010%</v>
      </c>
      <c r="T16" s="4" t="s">
        <v>82</v>
      </c>
      <c r="U16" s="4">
        <v>122.5</v>
      </c>
      <c r="V16" s="4">
        <v>127.07</v>
      </c>
      <c r="W16" s="4">
        <v>143.6</v>
      </c>
      <c r="X16" s="4">
        <v>121.7</v>
      </c>
      <c r="Y16" s="4" t="s">
        <v>87</v>
      </c>
      <c r="Z16" s="7" t="s">
        <v>88</v>
      </c>
      <c r="AA16" s="6" t="str">
        <f t="shared" si="3"/>
        <v>6.882%</v>
      </c>
    </row>
    <row r="17" ht="15.75" customHeight="1">
      <c r="B17" s="3" t="s">
        <v>89</v>
      </c>
      <c r="C17">
        <v>8.965</v>
      </c>
      <c r="D17">
        <v>8.3</v>
      </c>
      <c r="E17">
        <v>9.837</v>
      </c>
      <c r="F17">
        <v>8.145</v>
      </c>
      <c r="G17" t="s">
        <v>90</v>
      </c>
      <c r="H17" s="5" t="s">
        <v>91</v>
      </c>
      <c r="I17" s="6" t="str">
        <f t="shared" si="1"/>
        <v>-9.202%</v>
      </c>
      <c r="K17" s="4" t="s">
        <v>89</v>
      </c>
      <c r="L17" s="4">
        <v>52.74</v>
      </c>
      <c r="M17" s="4">
        <v>53.22</v>
      </c>
      <c r="N17" s="4">
        <v>54.71</v>
      </c>
      <c r="O17" s="4">
        <v>49.8</v>
      </c>
      <c r="P17" s="4" t="s">
        <v>92</v>
      </c>
      <c r="Q17" s="7" t="s">
        <v>93</v>
      </c>
      <c r="R17" s="6" t="str">
        <f t="shared" si="2"/>
        <v>-0.190%</v>
      </c>
      <c r="T17" s="4" t="s">
        <v>89</v>
      </c>
      <c r="U17" s="4">
        <v>130.93</v>
      </c>
      <c r="V17" s="4">
        <v>125.6</v>
      </c>
      <c r="W17" s="4">
        <v>159.27</v>
      </c>
      <c r="X17" s="4">
        <v>122.2</v>
      </c>
      <c r="Y17" s="4" t="s">
        <v>94</v>
      </c>
      <c r="Z17" s="7" t="s">
        <v>95</v>
      </c>
      <c r="AA17" s="6" t="str">
        <f t="shared" si="3"/>
        <v>-5.751%</v>
      </c>
    </row>
    <row r="18" ht="15.75" customHeight="1">
      <c r="B18" s="3" t="s">
        <v>96</v>
      </c>
      <c r="C18">
        <v>8.14</v>
      </c>
      <c r="D18">
        <v>10.364</v>
      </c>
      <c r="E18">
        <v>10.442</v>
      </c>
      <c r="F18">
        <v>7.267</v>
      </c>
      <c r="G18" t="s">
        <v>97</v>
      </c>
      <c r="H18" s="5" t="s">
        <v>98</v>
      </c>
      <c r="I18" s="6" t="str">
        <f t="shared" si="1"/>
        <v>26.069%</v>
      </c>
      <c r="K18" s="4" t="s">
        <v>96</v>
      </c>
      <c r="L18" s="4">
        <v>52.64</v>
      </c>
      <c r="M18" s="4">
        <v>54.24</v>
      </c>
      <c r="N18" s="4">
        <v>55.62</v>
      </c>
      <c r="O18" s="4">
        <v>45.99</v>
      </c>
      <c r="P18" s="4" t="s">
        <v>99</v>
      </c>
      <c r="Q18" s="7" t="s">
        <v>100</v>
      </c>
      <c r="R18" s="6" t="str">
        <f t="shared" si="2"/>
        <v>2.983%</v>
      </c>
      <c r="T18" s="4" t="s">
        <v>96</v>
      </c>
      <c r="U18" s="4">
        <v>123.4</v>
      </c>
      <c r="V18" s="4">
        <v>131.13</v>
      </c>
      <c r="W18" s="4">
        <v>133.67</v>
      </c>
      <c r="X18" s="4">
        <v>103.27</v>
      </c>
      <c r="Y18" s="4" t="s">
        <v>101</v>
      </c>
      <c r="Z18" s="7" t="s">
        <v>102</v>
      </c>
      <c r="AA18" s="6" t="str">
        <f t="shared" si="3"/>
        <v>6.102%</v>
      </c>
    </row>
    <row r="19" ht="15.75" customHeight="1">
      <c r="B19" s="3" t="s">
        <v>103</v>
      </c>
      <c r="C19">
        <v>10.262</v>
      </c>
      <c r="D19">
        <v>12.212</v>
      </c>
      <c r="E19">
        <v>12.628</v>
      </c>
      <c r="F19">
        <v>10.074</v>
      </c>
      <c r="G19" t="s">
        <v>104</v>
      </c>
      <c r="H19" s="5" t="s">
        <v>105</v>
      </c>
      <c r="I19" s="6" t="str">
        <f t="shared" si="1"/>
        <v>20.444%</v>
      </c>
      <c r="K19" s="4" t="s">
        <v>103</v>
      </c>
      <c r="L19" s="4">
        <v>54.21</v>
      </c>
      <c r="M19" s="4">
        <v>60.08</v>
      </c>
      <c r="N19" s="4">
        <v>63.71</v>
      </c>
      <c r="O19" s="4">
        <v>53.64</v>
      </c>
      <c r="P19" s="4" t="s">
        <v>106</v>
      </c>
      <c r="Q19" s="7" t="s">
        <v>107</v>
      </c>
      <c r="R19" s="6" t="str">
        <f t="shared" si="2"/>
        <v>10.386%</v>
      </c>
      <c r="T19" s="4" t="s">
        <v>103</v>
      </c>
      <c r="U19" s="4">
        <v>130.93</v>
      </c>
      <c r="V19" s="4">
        <v>125.4</v>
      </c>
      <c r="W19" s="4">
        <v>142.2</v>
      </c>
      <c r="X19" s="4">
        <v>111.33</v>
      </c>
      <c r="Y19" s="4" t="s">
        <v>108</v>
      </c>
      <c r="Z19" s="7" t="s">
        <v>109</v>
      </c>
      <c r="AA19" s="6" t="str">
        <f t="shared" si="3"/>
        <v>-5.392%</v>
      </c>
    </row>
    <row r="20" ht="15.75" customHeight="1">
      <c r="B20" s="3" t="s">
        <v>110</v>
      </c>
      <c r="C20">
        <v>12.36</v>
      </c>
      <c r="D20">
        <v>12.29</v>
      </c>
      <c r="E20">
        <v>13.754</v>
      </c>
      <c r="F20">
        <v>11.894</v>
      </c>
      <c r="G20" t="s">
        <v>111</v>
      </c>
      <c r="H20" s="5" t="s">
        <v>112</v>
      </c>
      <c r="I20" s="6" t="str">
        <f t="shared" si="1"/>
        <v>4.871%</v>
      </c>
      <c r="K20" s="4" t="s">
        <v>110</v>
      </c>
      <c r="L20" s="4">
        <v>59.84</v>
      </c>
      <c r="M20" s="4">
        <v>57.08</v>
      </c>
      <c r="N20" s="4">
        <v>62.15</v>
      </c>
      <c r="O20" s="4">
        <v>55.89</v>
      </c>
      <c r="P20" s="4" t="s">
        <v>113</v>
      </c>
      <c r="Q20" s="7" t="s">
        <v>114</v>
      </c>
      <c r="R20" s="6" t="str">
        <f t="shared" si="2"/>
        <v>-1.638%</v>
      </c>
      <c r="T20" s="4" t="s">
        <v>110</v>
      </c>
      <c r="U20" s="4">
        <v>123.87</v>
      </c>
      <c r="V20" s="4">
        <v>90.53</v>
      </c>
      <c r="W20" s="4">
        <v>136.27</v>
      </c>
      <c r="X20" s="4">
        <v>88.67</v>
      </c>
      <c r="Y20" s="4" t="s">
        <v>115</v>
      </c>
      <c r="Z20" s="7" t="s">
        <v>116</v>
      </c>
      <c r="AA20" s="6" t="str">
        <f t="shared" si="3"/>
        <v>-26.536%</v>
      </c>
    </row>
    <row r="21" ht="15.75" customHeight="1">
      <c r="B21" s="3" t="s">
        <v>117</v>
      </c>
      <c r="C21">
        <v>12.962</v>
      </c>
      <c r="D21">
        <v>12.7</v>
      </c>
      <c r="E21">
        <v>13.358</v>
      </c>
      <c r="F21">
        <v>11.906</v>
      </c>
      <c r="G21" t="s">
        <v>118</v>
      </c>
      <c r="H21" s="5" t="s">
        <v>119</v>
      </c>
      <c r="I21" s="6" t="str">
        <f t="shared" si="1"/>
        <v>-2.870%</v>
      </c>
      <c r="K21" s="4" t="s">
        <v>117</v>
      </c>
      <c r="L21" s="4">
        <v>58.86</v>
      </c>
      <c r="M21" s="4">
        <v>53.58</v>
      </c>
      <c r="N21" s="4">
        <v>59.9</v>
      </c>
      <c r="O21" s="4">
        <v>52.13</v>
      </c>
      <c r="P21" s="4" t="s">
        <v>120</v>
      </c>
      <c r="Q21" s="7" t="s">
        <v>121</v>
      </c>
      <c r="R21" s="6" t="str">
        <f t="shared" si="2"/>
        <v>-8.036%</v>
      </c>
      <c r="T21" s="4" t="s">
        <v>117</v>
      </c>
      <c r="U21" s="4">
        <v>91.0</v>
      </c>
      <c r="V21" s="4">
        <v>88.2</v>
      </c>
      <c r="W21" s="4">
        <v>94.0</v>
      </c>
      <c r="X21" s="4">
        <v>81.8</v>
      </c>
      <c r="Y21" s="4" t="s">
        <v>122</v>
      </c>
      <c r="Z21" s="7" t="s">
        <v>123</v>
      </c>
      <c r="AA21" s="6" t="str">
        <f t="shared" si="3"/>
        <v>-2.341%</v>
      </c>
    </row>
    <row r="22" ht="15.75" customHeight="1">
      <c r="B22" s="3" t="s">
        <v>124</v>
      </c>
      <c r="C22">
        <v>12.59</v>
      </c>
      <c r="D22">
        <v>11.822</v>
      </c>
      <c r="E22">
        <v>13.47</v>
      </c>
      <c r="F22">
        <v>11.268</v>
      </c>
      <c r="G22" t="s">
        <v>125</v>
      </c>
      <c r="H22" s="5" t="s">
        <v>126</v>
      </c>
      <c r="I22" s="6" t="str">
        <f t="shared" si="1"/>
        <v>-0.429%</v>
      </c>
      <c r="K22" s="4" t="s">
        <v>124</v>
      </c>
      <c r="L22" s="4">
        <v>54.13</v>
      </c>
      <c r="M22" s="4">
        <v>52.3</v>
      </c>
      <c r="N22" s="4">
        <v>57.2</v>
      </c>
      <c r="O22" s="4">
        <v>51.0</v>
      </c>
      <c r="P22" s="4" t="s">
        <v>127</v>
      </c>
      <c r="Q22" s="7" t="s">
        <v>123</v>
      </c>
      <c r="R22" s="6" t="str">
        <f t="shared" si="2"/>
        <v>-2.346%</v>
      </c>
      <c r="T22" s="4" t="s">
        <v>124</v>
      </c>
      <c r="U22" s="4">
        <v>88.87</v>
      </c>
      <c r="V22" s="4">
        <v>85.33</v>
      </c>
      <c r="W22" s="4">
        <v>95.6</v>
      </c>
      <c r="X22" s="4">
        <v>84.2</v>
      </c>
      <c r="Y22" s="4" t="s">
        <v>128</v>
      </c>
      <c r="Z22" s="7" t="s">
        <v>129</v>
      </c>
      <c r="AA22" s="6" t="str">
        <f t="shared" si="3"/>
        <v>-4.884%</v>
      </c>
    </row>
    <row r="23" ht="15.75" customHeight="1">
      <c r="B23" s="3" t="s">
        <v>130</v>
      </c>
      <c r="C23">
        <v>12.536</v>
      </c>
      <c r="D23">
        <v>12.54</v>
      </c>
      <c r="E23">
        <v>13.356</v>
      </c>
      <c r="F23">
        <v>11.84</v>
      </c>
      <c r="G23" t="s">
        <v>131</v>
      </c>
      <c r="H23" s="5" t="s">
        <v>132</v>
      </c>
      <c r="I23" s="6" t="str">
        <f t="shared" si="1"/>
        <v>0.479%</v>
      </c>
      <c r="K23" s="4" t="s">
        <v>130</v>
      </c>
      <c r="L23" s="4">
        <v>52.86</v>
      </c>
      <c r="M23" s="4">
        <v>55.98</v>
      </c>
      <c r="N23" s="4">
        <v>56.69</v>
      </c>
      <c r="O23" s="4">
        <v>50.8</v>
      </c>
      <c r="P23" s="4" t="s">
        <v>133</v>
      </c>
      <c r="Q23" s="7" t="s">
        <v>134</v>
      </c>
      <c r="R23" s="6" t="str">
        <f t="shared" si="2"/>
        <v>5.448%</v>
      </c>
      <c r="T23" s="4" t="s">
        <v>130</v>
      </c>
      <c r="U23" s="4">
        <v>84.53</v>
      </c>
      <c r="V23" s="4">
        <v>93.8</v>
      </c>
      <c r="W23" s="4">
        <v>98.4</v>
      </c>
      <c r="X23" s="4">
        <v>82.8</v>
      </c>
      <c r="Y23" s="4" t="s">
        <v>135</v>
      </c>
      <c r="Z23" s="7" t="s">
        <v>136</v>
      </c>
      <c r="AA23" s="6" t="str">
        <f t="shared" si="3"/>
        <v>10.967%</v>
      </c>
    </row>
    <row r="24" ht="15.75" customHeight="1">
      <c r="B24" s="3" t="s">
        <v>137</v>
      </c>
      <c r="C24">
        <v>12.596</v>
      </c>
      <c r="D24">
        <v>12.53</v>
      </c>
      <c r="E24">
        <v>12.934</v>
      </c>
      <c r="F24">
        <v>11.604</v>
      </c>
      <c r="G24" t="s">
        <v>138</v>
      </c>
      <c r="H24" s="5" t="s">
        <v>139</v>
      </c>
      <c r="I24" s="6" t="str">
        <f t="shared" si="1"/>
        <v>-1.493%</v>
      </c>
      <c r="K24" s="4" t="s">
        <v>137</v>
      </c>
      <c r="L24" s="4">
        <v>55.74</v>
      </c>
      <c r="M24" s="4">
        <v>57.9</v>
      </c>
      <c r="N24" s="4">
        <v>60.5</v>
      </c>
      <c r="O24" s="4">
        <v>55.7</v>
      </c>
      <c r="P24" s="4" t="s">
        <v>140</v>
      </c>
      <c r="Q24" s="7" t="s">
        <v>141</v>
      </c>
      <c r="R24" s="6" t="str">
        <f t="shared" si="2"/>
        <v>3.875%</v>
      </c>
      <c r="T24" s="4" t="s">
        <v>137</v>
      </c>
      <c r="U24" s="4">
        <v>93.8</v>
      </c>
      <c r="V24" s="4">
        <v>96.67</v>
      </c>
      <c r="W24" s="4">
        <v>106.93</v>
      </c>
      <c r="X24" s="4">
        <v>88.53</v>
      </c>
      <c r="Y24" s="4" t="s">
        <v>142</v>
      </c>
      <c r="Z24" s="7" t="s">
        <v>143</v>
      </c>
      <c r="AA24" s="6" t="str">
        <f t="shared" si="3"/>
        <v>0.853%</v>
      </c>
    </row>
    <row r="25" ht="15.75" customHeight="1">
      <c r="B25" s="3" t="s">
        <v>144</v>
      </c>
      <c r="C25">
        <v>12.408</v>
      </c>
      <c r="D25">
        <v>15.078</v>
      </c>
      <c r="E25">
        <v>15.114</v>
      </c>
      <c r="F25">
        <v>12.326</v>
      </c>
      <c r="G25" t="s">
        <v>145</v>
      </c>
      <c r="H25" s="5" t="s">
        <v>146</v>
      </c>
      <c r="I25" s="6" t="str">
        <f t="shared" si="1"/>
        <v>22.002%</v>
      </c>
      <c r="K25" s="4" t="s">
        <v>144</v>
      </c>
      <c r="L25" s="4">
        <v>57.9</v>
      </c>
      <c r="M25" s="4">
        <v>62.11</v>
      </c>
      <c r="N25" s="4">
        <v>62.5</v>
      </c>
      <c r="O25" s="4">
        <v>52.03</v>
      </c>
      <c r="P25" s="4" t="s">
        <v>147</v>
      </c>
      <c r="Q25" s="7" t="s">
        <v>148</v>
      </c>
      <c r="R25" s="6" t="str">
        <f t="shared" si="2"/>
        <v>7.582%</v>
      </c>
      <c r="T25" s="4" t="s">
        <v>144</v>
      </c>
      <c r="U25" s="4">
        <v>94.6</v>
      </c>
      <c r="V25" s="4">
        <v>79.93</v>
      </c>
      <c r="W25" s="4">
        <v>96.6</v>
      </c>
      <c r="X25" s="4">
        <v>77.27</v>
      </c>
      <c r="Y25" s="4" t="s">
        <v>149</v>
      </c>
      <c r="Z25" s="7" t="s">
        <v>150</v>
      </c>
      <c r="AA25" s="6" t="str">
        <f t="shared" si="3"/>
        <v>-15.011%</v>
      </c>
    </row>
    <row r="26" ht="15.75" customHeight="1">
      <c r="B26" s="3" t="s">
        <v>151</v>
      </c>
      <c r="C26">
        <v>15.138</v>
      </c>
      <c r="D26">
        <v>15.324</v>
      </c>
      <c r="E26">
        <v>15.496</v>
      </c>
      <c r="F26">
        <v>13.692</v>
      </c>
      <c r="G26" t="s">
        <v>152</v>
      </c>
      <c r="H26" s="5" t="s">
        <v>153</v>
      </c>
      <c r="I26" s="6" t="str">
        <f t="shared" si="1"/>
        <v>1.757%</v>
      </c>
      <c r="K26" s="4" t="s">
        <v>151</v>
      </c>
      <c r="L26" s="4">
        <v>62.29</v>
      </c>
      <c r="M26" s="4">
        <v>60.25</v>
      </c>
      <c r="N26" s="4">
        <v>63.24</v>
      </c>
      <c r="O26" s="4">
        <v>55.89</v>
      </c>
      <c r="P26" s="4" t="s">
        <v>154</v>
      </c>
      <c r="Q26" s="7" t="s">
        <v>155</v>
      </c>
      <c r="R26" s="6" t="str">
        <f t="shared" si="2"/>
        <v>-1.943%</v>
      </c>
      <c r="T26" s="4" t="s">
        <v>151</v>
      </c>
      <c r="U26" s="4">
        <v>80.4</v>
      </c>
      <c r="V26" s="4">
        <v>76.67</v>
      </c>
      <c r="W26" s="4">
        <v>81.27</v>
      </c>
      <c r="X26" s="4">
        <v>67.6</v>
      </c>
      <c r="Y26" s="4" t="s">
        <v>156</v>
      </c>
      <c r="Z26" s="7" t="s">
        <v>157</v>
      </c>
      <c r="AA26" s="6" t="str">
        <f t="shared" si="3"/>
        <v>-5.473%</v>
      </c>
    </row>
    <row r="27" ht="15.75" customHeight="1">
      <c r="B27" s="3" t="s">
        <v>158</v>
      </c>
      <c r="C27">
        <v>15.404</v>
      </c>
      <c r="D27">
        <v>18.862</v>
      </c>
      <c r="E27">
        <v>19.29</v>
      </c>
      <c r="F27">
        <v>15.28</v>
      </c>
      <c r="G27" t="s">
        <v>159</v>
      </c>
      <c r="H27" s="5" t="s">
        <v>160</v>
      </c>
      <c r="I27" s="6" t="str">
        <f t="shared" si="1"/>
        <v>19.904%</v>
      </c>
      <c r="K27" s="4" t="s">
        <v>158</v>
      </c>
      <c r="L27" s="4">
        <v>61.08</v>
      </c>
      <c r="M27" s="4">
        <v>65.62</v>
      </c>
      <c r="N27" s="4">
        <v>66.33</v>
      </c>
      <c r="O27" s="4">
        <v>61.02</v>
      </c>
      <c r="P27" s="4" t="s">
        <v>161</v>
      </c>
      <c r="Q27" s="7" t="s">
        <v>134</v>
      </c>
      <c r="R27" s="6" t="str">
        <f t="shared" si="2"/>
        <v>5.452%</v>
      </c>
      <c r="T27" s="4" t="s">
        <v>158</v>
      </c>
      <c r="U27" s="4">
        <v>76.0</v>
      </c>
      <c r="V27" s="4">
        <v>77.6</v>
      </c>
      <c r="W27" s="4">
        <v>83.2</v>
      </c>
      <c r="X27" s="4">
        <v>74.13</v>
      </c>
      <c r="Y27" s="4" t="s">
        <v>162</v>
      </c>
      <c r="Z27" s="7" t="s">
        <v>163</v>
      </c>
      <c r="AA27" s="6" t="str">
        <f t="shared" si="3"/>
        <v>1.750%</v>
      </c>
    </row>
    <row r="28" ht="15.75" customHeight="1">
      <c r="B28" s="3" t="s">
        <v>164</v>
      </c>
      <c r="C28">
        <v>18.47</v>
      </c>
      <c r="D28">
        <v>20.545</v>
      </c>
      <c r="E28">
        <v>20.665</v>
      </c>
      <c r="F28">
        <v>18.21</v>
      </c>
      <c r="G28" t="s">
        <v>165</v>
      </c>
      <c r="H28" s="5" t="s">
        <v>166</v>
      </c>
      <c r="I28" s="6" t="str">
        <f t="shared" si="1"/>
        <v>9.367%</v>
      </c>
      <c r="K28" s="4" t="s">
        <v>164</v>
      </c>
      <c r="L28" s="4">
        <v>64.41</v>
      </c>
      <c r="M28" s="4">
        <v>67.0</v>
      </c>
      <c r="N28" s="4">
        <v>67.1</v>
      </c>
      <c r="O28" s="4">
        <v>62.7</v>
      </c>
      <c r="P28" s="4" t="s">
        <v>167</v>
      </c>
      <c r="Q28" s="7" t="s">
        <v>168</v>
      </c>
      <c r="R28" s="6" t="str">
        <f t="shared" si="2"/>
        <v>3.027%</v>
      </c>
      <c r="T28" s="4" t="s">
        <v>164</v>
      </c>
      <c r="U28" s="4">
        <v>77.33</v>
      </c>
      <c r="V28" s="4">
        <v>74.4</v>
      </c>
      <c r="W28" s="4">
        <v>80.67</v>
      </c>
      <c r="X28" s="4">
        <v>72.8</v>
      </c>
      <c r="Y28" s="4" t="s">
        <v>169</v>
      </c>
      <c r="Z28" s="7" t="s">
        <v>170</v>
      </c>
      <c r="AA28" s="6" t="str">
        <f t="shared" si="3"/>
        <v>-5.341%</v>
      </c>
    </row>
    <row r="29" ht="15.75" customHeight="1">
      <c r="B29" s="3" t="s">
        <v>171</v>
      </c>
      <c r="C29">
        <v>20.2</v>
      </c>
      <c r="D29">
        <v>20.85</v>
      </c>
      <c r="E29">
        <v>21.57</v>
      </c>
      <c r="F29">
        <v>19.648</v>
      </c>
      <c r="G29" t="s">
        <v>172</v>
      </c>
      <c r="H29" s="5" t="s">
        <v>173</v>
      </c>
      <c r="I29" s="6" t="str">
        <f t="shared" si="1"/>
        <v>3.366%</v>
      </c>
      <c r="K29" s="4" t="s">
        <v>171</v>
      </c>
      <c r="L29" s="4">
        <v>66.36</v>
      </c>
      <c r="M29" s="4">
        <v>71.46</v>
      </c>
      <c r="N29" s="4">
        <v>73.68</v>
      </c>
      <c r="O29" s="4">
        <v>64.83</v>
      </c>
      <c r="P29" s="4" t="s">
        <v>174</v>
      </c>
      <c r="Q29" s="7" t="s">
        <v>175</v>
      </c>
      <c r="R29" s="6" t="str">
        <f t="shared" si="2"/>
        <v>7.987%</v>
      </c>
      <c r="T29" s="4" t="s">
        <v>171</v>
      </c>
      <c r="U29" s="4">
        <v>73.2</v>
      </c>
      <c r="V29" s="4">
        <v>72.4</v>
      </c>
      <c r="W29" s="4">
        <v>77.73</v>
      </c>
      <c r="X29" s="4">
        <v>68.07</v>
      </c>
      <c r="Y29" s="4" t="s">
        <v>176</v>
      </c>
      <c r="Z29" s="7" t="s">
        <v>177</v>
      </c>
      <c r="AA29" s="6" t="str">
        <f t="shared" si="3"/>
        <v>-1.817%</v>
      </c>
    </row>
    <row r="30" ht="15.75" customHeight="1">
      <c r="B30" s="3" t="s">
        <v>178</v>
      </c>
      <c r="C30">
        <v>20.88</v>
      </c>
      <c r="D30">
        <v>26.3</v>
      </c>
      <c r="E30">
        <v>26.41</v>
      </c>
      <c r="F30">
        <v>20.84</v>
      </c>
      <c r="G30" t="s">
        <v>179</v>
      </c>
      <c r="H30" s="5" t="s">
        <v>180</v>
      </c>
      <c r="I30" s="6" t="str">
        <f t="shared" si="1"/>
        <v>26.173%</v>
      </c>
      <c r="K30" s="4" t="s">
        <v>178</v>
      </c>
      <c r="L30" s="4">
        <v>71.66</v>
      </c>
      <c r="M30" s="4">
        <v>74.1</v>
      </c>
      <c r="N30" s="4">
        <v>77.43</v>
      </c>
      <c r="O30" s="4">
        <v>70.5</v>
      </c>
      <c r="P30" s="4" t="s">
        <v>181</v>
      </c>
      <c r="Q30" s="7" t="s">
        <v>182</v>
      </c>
      <c r="R30" s="6" t="str">
        <f t="shared" si="2"/>
        <v>3.112%</v>
      </c>
      <c r="T30" s="4" t="s">
        <v>178</v>
      </c>
      <c r="U30" s="4">
        <v>71.87</v>
      </c>
      <c r="V30" s="4">
        <v>67.2</v>
      </c>
      <c r="W30" s="4">
        <v>73.67</v>
      </c>
      <c r="X30" s="4">
        <v>65.07</v>
      </c>
      <c r="Y30" s="4" t="s">
        <v>183</v>
      </c>
      <c r="Z30" s="7" t="s">
        <v>184</v>
      </c>
      <c r="AA30" s="6" t="str">
        <f t="shared" si="3"/>
        <v>-6.498%</v>
      </c>
    </row>
    <row r="31" ht="15.75" customHeight="1">
      <c r="B31" s="3" t="s">
        <v>185</v>
      </c>
      <c r="C31">
        <v>26.345</v>
      </c>
      <c r="D31">
        <v>24.455</v>
      </c>
      <c r="E31">
        <v>27.35</v>
      </c>
      <c r="F31">
        <v>24.255</v>
      </c>
      <c r="G31" t="s">
        <v>186</v>
      </c>
      <c r="H31" s="5" t="s">
        <v>187</v>
      </c>
      <c r="I31" s="6" t="str">
        <f t="shared" si="1"/>
        <v>-8.389%</v>
      </c>
      <c r="K31" s="4" t="s">
        <v>185</v>
      </c>
      <c r="L31" s="4">
        <v>73.89</v>
      </c>
      <c r="M31" s="4">
        <v>73.72</v>
      </c>
      <c r="N31" s="4">
        <v>75.0</v>
      </c>
      <c r="O31" s="4">
        <v>71.8</v>
      </c>
      <c r="P31" s="4" t="s">
        <v>188</v>
      </c>
      <c r="Q31" s="7" t="s">
        <v>189</v>
      </c>
      <c r="R31" s="6" t="str">
        <f t="shared" si="2"/>
        <v>-0.230%</v>
      </c>
      <c r="T31" s="4" t="s">
        <v>185</v>
      </c>
      <c r="U31" s="4">
        <v>67.2</v>
      </c>
      <c r="V31" s="4">
        <v>64.33</v>
      </c>
      <c r="W31" s="4">
        <v>73.0</v>
      </c>
      <c r="X31" s="4">
        <v>62.2</v>
      </c>
      <c r="Y31" s="4" t="s">
        <v>190</v>
      </c>
      <c r="Z31" s="7" t="s">
        <v>191</v>
      </c>
      <c r="AA31" s="6" t="str">
        <f t="shared" si="3"/>
        <v>-4.122%</v>
      </c>
    </row>
    <row r="32" ht="15.75" customHeight="1">
      <c r="B32" s="3" t="s">
        <v>192</v>
      </c>
      <c r="C32">
        <v>24.135</v>
      </c>
      <c r="D32">
        <v>20.365</v>
      </c>
      <c r="E32">
        <v>24.715</v>
      </c>
      <c r="F32">
        <v>20.33</v>
      </c>
      <c r="G32" t="s">
        <v>193</v>
      </c>
      <c r="H32" s="5" t="s">
        <v>194</v>
      </c>
      <c r="I32" s="6" t="str">
        <f t="shared" si="1"/>
        <v>-15.082%</v>
      </c>
      <c r="K32" s="4" t="s">
        <v>192</v>
      </c>
      <c r="L32" s="4">
        <v>73.72</v>
      </c>
      <c r="M32" s="4">
        <v>62.96</v>
      </c>
      <c r="N32" s="4">
        <v>74.1</v>
      </c>
      <c r="O32" s="4">
        <v>62.76</v>
      </c>
      <c r="P32" s="4" t="s">
        <v>78</v>
      </c>
      <c r="Q32" s="7" t="s">
        <v>195</v>
      </c>
      <c r="R32" s="6" t="str">
        <f t="shared" si="2"/>
        <v>-14.745%</v>
      </c>
      <c r="T32" s="4" t="s">
        <v>192</v>
      </c>
      <c r="U32" s="4">
        <v>64.43</v>
      </c>
      <c r="V32" s="4">
        <v>58.1</v>
      </c>
      <c r="W32" s="4">
        <v>66.67</v>
      </c>
      <c r="X32" s="4">
        <v>55.93</v>
      </c>
      <c r="Y32" s="4" t="s">
        <v>196</v>
      </c>
      <c r="Z32" s="7" t="s">
        <v>197</v>
      </c>
      <c r="AA32" s="6" t="str">
        <f t="shared" si="3"/>
        <v>-9.825%</v>
      </c>
    </row>
    <row r="33" ht="15.75" customHeight="1">
      <c r="B33" s="3" t="s">
        <v>198</v>
      </c>
      <c r="C33">
        <v>20.495</v>
      </c>
      <c r="D33">
        <v>21.27</v>
      </c>
      <c r="E33">
        <v>21.5</v>
      </c>
      <c r="F33">
        <v>19.152</v>
      </c>
      <c r="G33" t="s">
        <v>199</v>
      </c>
      <c r="H33" s="5" t="s">
        <v>200</v>
      </c>
      <c r="I33" s="6" t="str">
        <f t="shared" si="1"/>
        <v>3.196%</v>
      </c>
      <c r="K33" s="4" t="s">
        <v>198</v>
      </c>
      <c r="L33" s="4">
        <v>62.85</v>
      </c>
      <c r="M33" s="4">
        <v>63.1</v>
      </c>
      <c r="N33" s="4">
        <v>64.75</v>
      </c>
      <c r="O33" s="4">
        <v>59.23</v>
      </c>
      <c r="P33" s="4" t="s">
        <v>201</v>
      </c>
      <c r="Q33" s="7" t="s">
        <v>202</v>
      </c>
      <c r="R33" s="6" t="str">
        <f t="shared" si="2"/>
        <v>-0.175%</v>
      </c>
      <c r="T33" s="4" t="s">
        <v>198</v>
      </c>
      <c r="U33" s="4">
        <v>58.1</v>
      </c>
      <c r="V33" s="4">
        <v>72.27</v>
      </c>
      <c r="W33" s="4">
        <v>72.33</v>
      </c>
      <c r="X33" s="4">
        <v>57.5</v>
      </c>
      <c r="Y33" s="4" t="s">
        <v>203</v>
      </c>
      <c r="Z33" s="7" t="s">
        <v>204</v>
      </c>
      <c r="AA33" s="6" t="str">
        <f t="shared" si="3"/>
        <v>23.012%</v>
      </c>
    </row>
    <row r="34" ht="15.75" customHeight="1">
      <c r="B34" s="3" t="s">
        <v>205</v>
      </c>
      <c r="C34">
        <v>21.15</v>
      </c>
      <c r="D34">
        <v>19.99</v>
      </c>
      <c r="E34">
        <v>21.895</v>
      </c>
      <c r="F34">
        <v>19.808</v>
      </c>
      <c r="G34" t="s">
        <v>206</v>
      </c>
      <c r="H34" s="5" t="s">
        <v>207</v>
      </c>
      <c r="I34" s="6" t="str">
        <f t="shared" si="1"/>
        <v>-5.901%</v>
      </c>
      <c r="K34" s="4" t="s">
        <v>205</v>
      </c>
      <c r="L34" s="4">
        <v>62.74</v>
      </c>
      <c r="M34" s="4">
        <v>59.58</v>
      </c>
      <c r="N34" s="4">
        <v>66.18</v>
      </c>
      <c r="O34" s="4">
        <v>59.43</v>
      </c>
      <c r="P34" s="4" t="s">
        <v>208</v>
      </c>
      <c r="Q34" s="7" t="s">
        <v>209</v>
      </c>
      <c r="R34" s="6" t="str">
        <f t="shared" si="2"/>
        <v>-5.037%</v>
      </c>
      <c r="T34" s="4" t="s">
        <v>205</v>
      </c>
      <c r="U34" s="4">
        <v>71.47</v>
      </c>
      <c r="V34" s="4">
        <v>70.07</v>
      </c>
      <c r="W34" s="4">
        <v>72.4</v>
      </c>
      <c r="X34" s="4">
        <v>65.63</v>
      </c>
      <c r="Y34" s="4" t="s">
        <v>210</v>
      </c>
      <c r="Z34" s="7" t="s">
        <v>211</v>
      </c>
      <c r="AA34" s="6" t="str">
        <f t="shared" si="3"/>
        <v>-2.057%</v>
      </c>
    </row>
    <row r="35" ht="15.75" customHeight="1">
      <c r="B35" s="3" t="s">
        <v>212</v>
      </c>
      <c r="C35">
        <v>19.902</v>
      </c>
      <c r="D35">
        <v>18.0</v>
      </c>
      <c r="E35">
        <v>20.17</v>
      </c>
      <c r="F35">
        <v>17.632</v>
      </c>
      <c r="G35" t="s">
        <v>213</v>
      </c>
      <c r="H35" s="5" t="s">
        <v>214</v>
      </c>
      <c r="I35" s="6" t="str">
        <f t="shared" si="1"/>
        <v>-11.567%</v>
      </c>
      <c r="K35" s="4" t="s">
        <v>212</v>
      </c>
      <c r="L35" s="4">
        <v>59.58</v>
      </c>
      <c r="M35" s="4">
        <v>55.94</v>
      </c>
      <c r="N35" s="4">
        <v>63.0</v>
      </c>
      <c r="O35" s="4">
        <v>55.4</v>
      </c>
      <c r="P35" s="4" t="s">
        <v>215</v>
      </c>
      <c r="Q35" s="7" t="s">
        <v>216</v>
      </c>
      <c r="R35" s="6" t="str">
        <f t="shared" si="2"/>
        <v>-6.781%</v>
      </c>
      <c r="T35" s="4" t="s">
        <v>212</v>
      </c>
      <c r="U35" s="4">
        <v>70.0</v>
      </c>
      <c r="V35" s="4">
        <v>79.13</v>
      </c>
      <c r="W35" s="4">
        <v>84.53</v>
      </c>
      <c r="X35" s="4">
        <v>68.4</v>
      </c>
      <c r="Y35" s="4" t="s">
        <v>217</v>
      </c>
      <c r="Z35" s="7" t="s">
        <v>218</v>
      </c>
      <c r="AA35" s="6" t="str">
        <f t="shared" si="3"/>
        <v>13.043%</v>
      </c>
    </row>
    <row r="36" ht="15.75" customHeight="1">
      <c r="B36" s="3" t="s">
        <v>219</v>
      </c>
      <c r="C36">
        <v>17.6</v>
      </c>
      <c r="D36">
        <v>18.18</v>
      </c>
      <c r="E36">
        <v>19.206</v>
      </c>
      <c r="F36">
        <v>16.832</v>
      </c>
      <c r="G36" t="s">
        <v>220</v>
      </c>
      <c r="H36" s="5" t="s">
        <v>221</v>
      </c>
      <c r="I36" s="6" t="str">
        <f t="shared" si="1"/>
        <v>3.466%</v>
      </c>
      <c r="K36" s="4" t="s">
        <v>219</v>
      </c>
      <c r="L36" s="4">
        <v>55.54</v>
      </c>
      <c r="M36" s="4">
        <v>66.21</v>
      </c>
      <c r="N36" s="4">
        <v>66.23</v>
      </c>
      <c r="O36" s="4">
        <v>55.16</v>
      </c>
      <c r="P36" s="4" t="s">
        <v>222</v>
      </c>
      <c r="Q36" s="7" t="s">
        <v>223</v>
      </c>
      <c r="R36" s="6" t="str">
        <f t="shared" si="2"/>
        <v>18.491%</v>
      </c>
      <c r="T36" s="4" t="s">
        <v>219</v>
      </c>
      <c r="U36" s="4">
        <v>79.13</v>
      </c>
      <c r="V36" s="4">
        <v>80.13</v>
      </c>
      <c r="W36" s="4">
        <v>86.93</v>
      </c>
      <c r="X36" s="4">
        <v>76.4</v>
      </c>
      <c r="Y36" s="4" t="s">
        <v>224</v>
      </c>
      <c r="Z36" s="7" t="s">
        <v>225</v>
      </c>
      <c r="AA36" s="6" t="str">
        <f t="shared" si="3"/>
        <v>1.946%</v>
      </c>
    </row>
    <row r="37" ht="15.75" customHeight="1">
      <c r="B37" s="3" t="s">
        <v>226</v>
      </c>
      <c r="C37">
        <v>18.21</v>
      </c>
      <c r="D37">
        <v>17.062</v>
      </c>
      <c r="E37">
        <v>18.644</v>
      </c>
      <c r="F37">
        <v>16.58</v>
      </c>
      <c r="G37" t="s">
        <v>227</v>
      </c>
      <c r="H37" s="5" t="s">
        <v>228</v>
      </c>
      <c r="I37" s="6" t="str">
        <f t="shared" si="1"/>
        <v>-5.678%</v>
      </c>
      <c r="K37" s="4" t="s">
        <v>226</v>
      </c>
      <c r="L37" s="4">
        <v>65.81</v>
      </c>
      <c r="M37" s="4">
        <v>67.2</v>
      </c>
      <c r="N37" s="4">
        <v>69.9</v>
      </c>
      <c r="O37" s="4">
        <v>64.69</v>
      </c>
      <c r="P37" s="4" t="s">
        <v>229</v>
      </c>
      <c r="Q37" s="7" t="s">
        <v>230</v>
      </c>
      <c r="R37" s="6" t="str">
        <f t="shared" si="2"/>
        <v>6.260%</v>
      </c>
      <c r="T37" s="4" t="s">
        <v>226</v>
      </c>
      <c r="U37" s="4">
        <v>80.67</v>
      </c>
      <c r="V37" s="4">
        <v>83.67</v>
      </c>
      <c r="W37" s="4">
        <v>86.0</v>
      </c>
      <c r="X37" s="4">
        <v>78.07</v>
      </c>
      <c r="Y37" s="4" t="s">
        <v>231</v>
      </c>
      <c r="Z37" s="7" t="s">
        <v>232</v>
      </c>
      <c r="AA37" s="6" t="str">
        <f t="shared" si="3"/>
        <v>1.562%</v>
      </c>
    </row>
    <row r="38" ht="15.75" customHeight="1">
      <c r="B38" s="3" t="s">
        <v>233</v>
      </c>
      <c r="C38">
        <v>17.176</v>
      </c>
      <c r="D38">
        <v>18.564</v>
      </c>
      <c r="E38">
        <v>18.624</v>
      </c>
      <c r="F38">
        <v>16.154</v>
      </c>
      <c r="G38" t="s">
        <v>234</v>
      </c>
      <c r="H38" s="5" t="s">
        <v>235</v>
      </c>
      <c r="I38" s="6" t="str">
        <f t="shared" si="1"/>
        <v>8.547%</v>
      </c>
      <c r="K38" s="4" t="s">
        <v>233</v>
      </c>
      <c r="L38" s="4">
        <v>69.93</v>
      </c>
      <c r="M38" s="4">
        <v>72.22</v>
      </c>
      <c r="N38" s="4">
        <v>73.2</v>
      </c>
      <c r="O38" s="4">
        <v>66.5</v>
      </c>
      <c r="P38" s="4" t="s">
        <v>236</v>
      </c>
      <c r="Q38" s="7" t="s">
        <v>237</v>
      </c>
      <c r="R38" s="6" t="str">
        <f t="shared" si="2"/>
        <v>3.904%</v>
      </c>
      <c r="T38" s="4" t="s">
        <v>233</v>
      </c>
      <c r="U38" s="4">
        <v>81.93</v>
      </c>
      <c r="V38" s="4">
        <v>92.2</v>
      </c>
      <c r="W38" s="4">
        <v>93.53</v>
      </c>
      <c r="X38" s="4">
        <v>71.53</v>
      </c>
      <c r="Y38" s="4" t="s">
        <v>238</v>
      </c>
      <c r="Z38" s="7" t="s">
        <v>239</v>
      </c>
      <c r="AA38" s="6" t="str">
        <f t="shared" si="3"/>
        <v>12.132%</v>
      </c>
    </row>
    <row r="39" ht="15.75" customHeight="1">
      <c r="B39" s="3" t="s">
        <v>240</v>
      </c>
      <c r="C39">
        <v>18.644</v>
      </c>
      <c r="D39">
        <v>16.166</v>
      </c>
      <c r="E39">
        <v>18.88</v>
      </c>
      <c r="F39">
        <v>15.802</v>
      </c>
      <c r="G39" t="s">
        <v>241</v>
      </c>
      <c r="H39" s="5" t="s">
        <v>242</v>
      </c>
      <c r="I39" s="6" t="str">
        <f t="shared" si="1"/>
        <v>-13.699%</v>
      </c>
      <c r="K39" s="4" t="s">
        <v>240</v>
      </c>
      <c r="L39" s="4">
        <v>72.66</v>
      </c>
      <c r="M39" s="4">
        <v>74.18</v>
      </c>
      <c r="N39" s="4">
        <v>74.52</v>
      </c>
      <c r="O39" s="4">
        <v>68.13</v>
      </c>
      <c r="P39" s="4" t="s">
        <v>243</v>
      </c>
      <c r="Q39" s="7" t="s">
        <v>244</v>
      </c>
      <c r="R39" s="6" t="str">
        <f t="shared" si="2"/>
        <v>1.500%</v>
      </c>
      <c r="T39" s="4" t="s">
        <v>240</v>
      </c>
      <c r="U39" s="4">
        <v>91.87</v>
      </c>
      <c r="V39" s="4">
        <v>84.27</v>
      </c>
      <c r="W39" s="4">
        <v>93.13</v>
      </c>
      <c r="X39" s="4">
        <v>83.4</v>
      </c>
      <c r="Y39" s="4" t="s">
        <v>245</v>
      </c>
      <c r="Z39" s="7" t="s">
        <v>246</v>
      </c>
      <c r="AA39" s="6" t="str">
        <f t="shared" si="3"/>
        <v>-9.296%</v>
      </c>
    </row>
    <row r="40" ht="15.75" customHeight="1">
      <c r="B40" s="3" t="s">
        <v>247</v>
      </c>
      <c r="C40">
        <v>16.09</v>
      </c>
      <c r="D40">
        <v>14.4</v>
      </c>
      <c r="E40">
        <v>16.184</v>
      </c>
      <c r="F40">
        <v>14.24</v>
      </c>
      <c r="G40" t="s">
        <v>248</v>
      </c>
      <c r="H40" s="5" t="s">
        <v>249</v>
      </c>
      <c r="I40" s="6" t="str">
        <f t="shared" si="1"/>
        <v>-11.858%</v>
      </c>
      <c r="K40" s="4" t="s">
        <v>247</v>
      </c>
      <c r="L40" s="4">
        <v>73.75</v>
      </c>
      <c r="M40" s="4">
        <v>70.45</v>
      </c>
      <c r="N40" s="4">
        <v>75.77</v>
      </c>
      <c r="O40" s="4">
        <v>70.09</v>
      </c>
      <c r="P40" s="4" t="s">
        <v>250</v>
      </c>
      <c r="Q40" s="7" t="s">
        <v>251</v>
      </c>
      <c r="R40" s="6" t="str">
        <f t="shared" si="2"/>
        <v>-5.614%</v>
      </c>
      <c r="T40" s="4" t="s">
        <v>247</v>
      </c>
      <c r="U40" s="4">
        <v>83.33</v>
      </c>
      <c r="V40" s="4">
        <v>78.0</v>
      </c>
      <c r="W40" s="4">
        <v>90.93</v>
      </c>
      <c r="X40" s="4">
        <v>77.4</v>
      </c>
      <c r="Y40" s="4" t="s">
        <v>252</v>
      </c>
      <c r="Z40" s="7" t="s">
        <v>253</v>
      </c>
      <c r="AA40" s="6" t="str">
        <f t="shared" si="3"/>
        <v>-5.436%</v>
      </c>
    </row>
    <row r="41" ht="15.75" customHeight="1">
      <c r="B41" s="3" t="s">
        <v>254</v>
      </c>
      <c r="C41">
        <v>14.182</v>
      </c>
      <c r="D41">
        <v>15.132</v>
      </c>
      <c r="E41">
        <v>15.566</v>
      </c>
      <c r="F41">
        <v>14.146</v>
      </c>
      <c r="G41" t="s">
        <v>255</v>
      </c>
      <c r="H41" s="5" t="s">
        <v>256</v>
      </c>
      <c r="I41" s="6" t="str">
        <f t="shared" si="1"/>
        <v>5.768%</v>
      </c>
      <c r="K41" s="4" t="s">
        <v>254</v>
      </c>
      <c r="L41" s="4">
        <v>69.61</v>
      </c>
      <c r="M41" s="4">
        <v>71.27</v>
      </c>
      <c r="N41" s="4">
        <v>72.02</v>
      </c>
      <c r="O41" s="4">
        <v>64.53</v>
      </c>
      <c r="P41" s="4" t="s">
        <v>257</v>
      </c>
      <c r="Q41" s="7" t="s">
        <v>258</v>
      </c>
      <c r="R41" s="6" t="str">
        <f t="shared" si="2"/>
        <v>1.192%</v>
      </c>
      <c r="T41" s="4" t="s">
        <v>254</v>
      </c>
      <c r="U41" s="4">
        <v>78.8</v>
      </c>
      <c r="V41" s="4">
        <v>79.67</v>
      </c>
      <c r="W41" s="4">
        <v>84.87</v>
      </c>
      <c r="X41" s="4">
        <v>75.0</v>
      </c>
      <c r="Y41" s="4" t="s">
        <v>259</v>
      </c>
      <c r="Z41" s="7" t="s">
        <v>260</v>
      </c>
      <c r="AA41" s="6" t="str">
        <f t="shared" si="3"/>
        <v>-0.165%</v>
      </c>
    </row>
    <row r="42" ht="15.75" customHeight="1">
      <c r="B42" s="3" t="s">
        <v>261</v>
      </c>
      <c r="C42">
        <v>15.0</v>
      </c>
      <c r="D42">
        <v>16.76</v>
      </c>
      <c r="E42">
        <v>17.322</v>
      </c>
      <c r="F42">
        <v>14.492</v>
      </c>
      <c r="G42" t="s">
        <v>262</v>
      </c>
      <c r="H42" s="5" t="s">
        <v>263</v>
      </c>
      <c r="I42" s="6" t="str">
        <f t="shared" si="1"/>
        <v>11.573%</v>
      </c>
      <c r="K42" s="4" t="s">
        <v>261</v>
      </c>
      <c r="L42" s="4">
        <v>70.44</v>
      </c>
      <c r="M42" s="4">
        <v>70.5</v>
      </c>
      <c r="N42" s="4">
        <v>71.12</v>
      </c>
      <c r="O42" s="4">
        <v>67.48</v>
      </c>
      <c r="P42" s="4" t="s">
        <v>264</v>
      </c>
      <c r="Q42" s="7" t="s">
        <v>265</v>
      </c>
      <c r="R42" s="6" t="str">
        <f t="shared" si="2"/>
        <v>0.440%</v>
      </c>
      <c r="T42" s="4" t="s">
        <v>261</v>
      </c>
      <c r="U42" s="4">
        <v>78.67</v>
      </c>
      <c r="V42" s="4">
        <v>77.67</v>
      </c>
      <c r="W42" s="4">
        <v>80.53</v>
      </c>
      <c r="X42" s="4">
        <v>72.0</v>
      </c>
      <c r="Y42" s="4" t="s">
        <v>266</v>
      </c>
      <c r="Z42" s="7" t="s">
        <v>267</v>
      </c>
      <c r="AA42" s="6" t="str">
        <f t="shared" si="3"/>
        <v>-2.631%</v>
      </c>
    </row>
    <row r="43" ht="15.75" customHeight="1">
      <c r="B43" s="3" t="s">
        <v>268</v>
      </c>
      <c r="C43">
        <v>16.736</v>
      </c>
      <c r="D43">
        <v>16.666</v>
      </c>
      <c r="E43">
        <v>17.786</v>
      </c>
      <c r="F43">
        <v>15.224</v>
      </c>
      <c r="G43" t="s">
        <v>269</v>
      </c>
      <c r="H43" s="5" t="s">
        <v>270</v>
      </c>
      <c r="I43" s="6" t="str">
        <f t="shared" si="1"/>
        <v>-1.087%</v>
      </c>
      <c r="K43" s="4" t="s">
        <v>268</v>
      </c>
      <c r="L43" s="4">
        <v>70.75</v>
      </c>
      <c r="M43" s="4">
        <v>73.34</v>
      </c>
      <c r="N43" s="4">
        <v>75.84</v>
      </c>
      <c r="O43" s="4">
        <v>67.6</v>
      </c>
      <c r="P43" s="4" t="s">
        <v>271</v>
      </c>
      <c r="Q43" s="7" t="s">
        <v>272</v>
      </c>
      <c r="R43" s="6" t="str">
        <f t="shared" si="2"/>
        <v>2.954%</v>
      </c>
      <c r="T43" s="4" t="s">
        <v>268</v>
      </c>
      <c r="U43" s="4">
        <v>76.6</v>
      </c>
      <c r="V43" s="4">
        <v>71.2</v>
      </c>
      <c r="W43" s="4">
        <v>78.0</v>
      </c>
      <c r="X43" s="4">
        <v>63.5</v>
      </c>
      <c r="Y43" s="4" t="s">
        <v>273</v>
      </c>
      <c r="Z43" s="7" t="s">
        <v>274</v>
      </c>
      <c r="AA43" s="6" t="str">
        <f t="shared" si="3"/>
        <v>-8.094%</v>
      </c>
    </row>
    <row r="44" ht="15.75" customHeight="1">
      <c r="B44" s="3" t="s">
        <v>275</v>
      </c>
      <c r="C44">
        <v>16.554</v>
      </c>
      <c r="D44">
        <v>14.478</v>
      </c>
      <c r="E44">
        <v>17.088</v>
      </c>
      <c r="F44">
        <v>14.386</v>
      </c>
      <c r="G44" t="s">
        <v>276</v>
      </c>
      <c r="H44" s="5" t="s">
        <v>277</v>
      </c>
      <c r="I44" s="6" t="str">
        <f t="shared" si="1"/>
        <v>-13.157%</v>
      </c>
      <c r="K44" s="4" t="s">
        <v>275</v>
      </c>
      <c r="L44" s="4">
        <v>72.84</v>
      </c>
      <c r="M44" s="4">
        <v>68.5</v>
      </c>
      <c r="N44" s="4">
        <v>75.5</v>
      </c>
      <c r="O44" s="4">
        <v>68.2</v>
      </c>
      <c r="P44" s="4" t="s">
        <v>278</v>
      </c>
      <c r="Q44" s="7" t="s">
        <v>184</v>
      </c>
      <c r="R44" s="6" t="str">
        <f t="shared" si="2"/>
        <v>-6.494%</v>
      </c>
      <c r="T44" s="4" t="s">
        <v>275</v>
      </c>
      <c r="U44" s="4">
        <v>70.4</v>
      </c>
      <c r="V44" s="4">
        <v>82.53</v>
      </c>
      <c r="W44" s="4">
        <v>89.33</v>
      </c>
      <c r="X44" s="4">
        <v>69.53</v>
      </c>
      <c r="Y44" s="4" t="s">
        <v>279</v>
      </c>
      <c r="Z44" s="7" t="s">
        <v>280</v>
      </c>
      <c r="AA44" s="6" t="str">
        <f t="shared" si="3"/>
        <v>16.009%</v>
      </c>
    </row>
    <row r="45" ht="15.75" customHeight="1">
      <c r="B45" s="3" t="s">
        <v>281</v>
      </c>
      <c r="C45">
        <v>14.376</v>
      </c>
      <c r="D45">
        <v>13.35</v>
      </c>
      <c r="E45">
        <v>14.87</v>
      </c>
      <c r="F45">
        <v>13.35</v>
      </c>
      <c r="G45" t="s">
        <v>282</v>
      </c>
      <c r="H45" s="5" t="s">
        <v>283</v>
      </c>
      <c r="I45" s="6" t="str">
        <f t="shared" si="1"/>
        <v>-7.735%</v>
      </c>
      <c r="K45" s="4" t="s">
        <v>281</v>
      </c>
      <c r="L45" s="4">
        <v>68.11</v>
      </c>
      <c r="M45" s="4">
        <v>63.19</v>
      </c>
      <c r="N45" s="4">
        <v>69.24</v>
      </c>
      <c r="O45" s="4">
        <v>62.92</v>
      </c>
      <c r="P45" s="4" t="s">
        <v>284</v>
      </c>
      <c r="Q45" s="7" t="s">
        <v>285</v>
      </c>
      <c r="R45" s="6" t="str">
        <f t="shared" si="2"/>
        <v>-9.837%</v>
      </c>
      <c r="T45" s="4" t="s">
        <v>281</v>
      </c>
      <c r="U45" s="4">
        <v>81.67</v>
      </c>
      <c r="V45" s="4">
        <v>63.67</v>
      </c>
      <c r="W45" s="4">
        <v>83.67</v>
      </c>
      <c r="X45" s="4">
        <v>62.33</v>
      </c>
      <c r="Y45" s="4" t="s">
        <v>286</v>
      </c>
      <c r="Z45" s="7" t="s">
        <v>287</v>
      </c>
      <c r="AA45" s="6" t="str">
        <f t="shared" si="3"/>
        <v>-21.391%</v>
      </c>
    </row>
    <row r="46" ht="15.75" customHeight="1">
      <c r="B46" s="3" t="s">
        <v>288</v>
      </c>
      <c r="C46">
        <v>13.264</v>
      </c>
      <c r="D46">
        <v>14.996</v>
      </c>
      <c r="E46">
        <v>15.074</v>
      </c>
      <c r="F46">
        <v>13.048</v>
      </c>
      <c r="G46" t="s">
        <v>289</v>
      </c>
      <c r="H46" s="5" t="s">
        <v>290</v>
      </c>
      <c r="I46" s="6" t="str">
        <f t="shared" si="1"/>
        <v>12.274%</v>
      </c>
      <c r="K46" s="4" t="s">
        <v>288</v>
      </c>
      <c r="L46" s="4">
        <v>61.41</v>
      </c>
      <c r="M46" s="4">
        <v>64.97</v>
      </c>
      <c r="N46" s="4">
        <v>65.71</v>
      </c>
      <c r="O46" s="4">
        <v>60.75</v>
      </c>
      <c r="P46" s="4" t="s">
        <v>291</v>
      </c>
      <c r="Q46" s="7" t="s">
        <v>292</v>
      </c>
      <c r="R46" s="6" t="str">
        <f t="shared" si="2"/>
        <v>5.129%</v>
      </c>
      <c r="T46" s="4" t="s">
        <v>288</v>
      </c>
      <c r="U46" s="4">
        <v>64.2</v>
      </c>
      <c r="V46" s="4">
        <v>66.27</v>
      </c>
      <c r="W46" s="4">
        <v>72.73</v>
      </c>
      <c r="X46" s="4">
        <v>63.0</v>
      </c>
      <c r="Y46" s="4" t="s">
        <v>293</v>
      </c>
      <c r="Z46" s="7" t="s">
        <v>294</v>
      </c>
      <c r="AA46" s="6" t="str">
        <f t="shared" si="3"/>
        <v>-0.576%</v>
      </c>
    </row>
    <row r="47" ht="15.75" customHeight="1">
      <c r="B47" s="3" t="s">
        <v>295</v>
      </c>
      <c r="C47">
        <v>14.892</v>
      </c>
      <c r="D47">
        <v>13.736</v>
      </c>
      <c r="E47">
        <v>14.926</v>
      </c>
      <c r="F47">
        <v>13.09</v>
      </c>
      <c r="G47" t="s">
        <v>296</v>
      </c>
      <c r="H47" s="5" t="s">
        <v>297</v>
      </c>
      <c r="I47" s="6" t="str">
        <f t="shared" si="1"/>
        <v>-8.273%</v>
      </c>
      <c r="K47" s="4" t="s">
        <v>295</v>
      </c>
      <c r="L47" s="4">
        <v>64.56</v>
      </c>
      <c r="M47" s="4">
        <v>59.32</v>
      </c>
      <c r="N47" s="4">
        <v>65.84</v>
      </c>
      <c r="O47" s="4">
        <v>56.66</v>
      </c>
      <c r="P47" s="4" t="s">
        <v>298</v>
      </c>
      <c r="Q47" s="7" t="s">
        <v>299</v>
      </c>
      <c r="R47" s="6" t="str">
        <f t="shared" si="2"/>
        <v>-9.263%</v>
      </c>
      <c r="T47" s="4" t="s">
        <v>295</v>
      </c>
      <c r="U47" s="4">
        <v>63.83</v>
      </c>
      <c r="V47" s="4">
        <v>59.6</v>
      </c>
      <c r="W47" s="4">
        <v>68.47</v>
      </c>
      <c r="X47" s="4">
        <v>55.03</v>
      </c>
      <c r="Y47" s="4" t="s">
        <v>300</v>
      </c>
      <c r="Z47" s="7" t="s">
        <v>301</v>
      </c>
      <c r="AA47" s="6" t="str">
        <f t="shared" si="3"/>
        <v>-8.241%</v>
      </c>
    </row>
    <row r="48" ht="15.75" customHeight="1">
      <c r="B48" s="3" t="s">
        <v>302</v>
      </c>
      <c r="C48">
        <v>13.66</v>
      </c>
      <c r="D48">
        <v>12.128</v>
      </c>
      <c r="E48">
        <v>13.72</v>
      </c>
      <c r="F48">
        <v>11.868</v>
      </c>
      <c r="G48" t="s">
        <v>303</v>
      </c>
      <c r="H48" s="5" t="s">
        <v>304</v>
      </c>
      <c r="I48" s="6" t="str">
        <f t="shared" si="1"/>
        <v>-10.161%</v>
      </c>
      <c r="K48" s="4" t="s">
        <v>302</v>
      </c>
      <c r="L48" s="4">
        <v>58.58</v>
      </c>
      <c r="M48" s="4">
        <v>52.27</v>
      </c>
      <c r="N48" s="4">
        <v>59.22</v>
      </c>
      <c r="O48" s="4">
        <v>50.67</v>
      </c>
      <c r="P48" s="4" t="s">
        <v>305</v>
      </c>
      <c r="Q48" s="7" t="s">
        <v>306</v>
      </c>
      <c r="R48" s="6" t="str">
        <f t="shared" si="2"/>
        <v>-10.772%</v>
      </c>
      <c r="T48" s="4" t="s">
        <v>302</v>
      </c>
      <c r="U48" s="4">
        <v>58.57</v>
      </c>
      <c r="V48" s="4">
        <v>63.3</v>
      </c>
      <c r="W48" s="4">
        <v>70.6</v>
      </c>
      <c r="X48" s="4">
        <v>53.9</v>
      </c>
      <c r="Y48" s="4" t="s">
        <v>307</v>
      </c>
      <c r="Z48" s="7" t="s">
        <v>308</v>
      </c>
      <c r="AA48" s="6" t="str">
        <f t="shared" si="3"/>
        <v>10.637%</v>
      </c>
    </row>
    <row r="49" ht="15.75" customHeight="1">
      <c r="B49" s="3" t="s">
        <v>309</v>
      </c>
      <c r="C49">
        <v>12.272</v>
      </c>
      <c r="D49">
        <v>13.292</v>
      </c>
      <c r="E49">
        <v>13.946</v>
      </c>
      <c r="F49">
        <v>12.05</v>
      </c>
      <c r="G49" t="s">
        <v>310</v>
      </c>
      <c r="H49" s="5" t="s">
        <v>311</v>
      </c>
      <c r="I49" s="6" t="str">
        <f t="shared" si="1"/>
        <v>8.817%</v>
      </c>
      <c r="K49" s="4" t="s">
        <v>309</v>
      </c>
      <c r="L49" s="4">
        <v>52.27</v>
      </c>
      <c r="M49" s="4">
        <v>55.79</v>
      </c>
      <c r="N49" s="4">
        <v>60.0</v>
      </c>
      <c r="O49" s="4">
        <v>51.4</v>
      </c>
      <c r="P49" s="4" t="s">
        <v>312</v>
      </c>
      <c r="Q49" s="7" t="s">
        <v>313</v>
      </c>
      <c r="R49" s="6" t="str">
        <f t="shared" si="2"/>
        <v>8.035%</v>
      </c>
      <c r="T49" s="4" t="s">
        <v>309</v>
      </c>
      <c r="U49" s="4">
        <v>64.8</v>
      </c>
      <c r="V49" s="4">
        <v>80.4</v>
      </c>
      <c r="W49" s="4">
        <v>80.53</v>
      </c>
      <c r="X49" s="4">
        <v>62.93</v>
      </c>
      <c r="Y49" s="4" t="s">
        <v>314</v>
      </c>
      <c r="Z49" s="7" t="s">
        <v>315</v>
      </c>
      <c r="AA49" s="6" t="str">
        <f t="shared" si="3"/>
        <v>24.583%</v>
      </c>
    </row>
    <row r="50" ht="15.75" customHeight="1">
      <c r="B50" s="3" t="s">
        <v>316</v>
      </c>
      <c r="C50">
        <v>13.354</v>
      </c>
      <c r="D50">
        <v>14.05</v>
      </c>
      <c r="E50">
        <v>15.104</v>
      </c>
      <c r="F50">
        <v>13.354</v>
      </c>
      <c r="G50" t="s">
        <v>317</v>
      </c>
      <c r="H50" s="5" t="s">
        <v>318</v>
      </c>
      <c r="I50" s="6" t="str">
        <f t="shared" si="1"/>
        <v>4.253%</v>
      </c>
      <c r="K50" s="4" t="s">
        <v>316</v>
      </c>
      <c r="L50" s="4">
        <v>56.47</v>
      </c>
      <c r="M50" s="4">
        <v>57.67</v>
      </c>
      <c r="N50" s="4">
        <v>61.42</v>
      </c>
      <c r="O50" s="4">
        <v>54.5</v>
      </c>
      <c r="P50" s="4" t="s">
        <v>319</v>
      </c>
      <c r="Q50" s="7" t="s">
        <v>320</v>
      </c>
      <c r="R50" s="6" t="str">
        <f t="shared" si="2"/>
        <v>1.682%</v>
      </c>
      <c r="T50" s="4" t="s">
        <v>316</v>
      </c>
      <c r="U50" s="4">
        <v>80.73</v>
      </c>
      <c r="V50" s="4">
        <v>96.0</v>
      </c>
      <c r="W50" s="4">
        <v>99.6</v>
      </c>
      <c r="X50" s="4">
        <v>76.33</v>
      </c>
      <c r="Y50" s="4" t="s">
        <v>321</v>
      </c>
      <c r="Z50" s="7" t="s">
        <v>322</v>
      </c>
      <c r="AA50" s="6" t="str">
        <f t="shared" si="3"/>
        <v>17.924%</v>
      </c>
    </row>
    <row r="51" ht="15.75" customHeight="1">
      <c r="B51" s="3" t="s">
        <v>323</v>
      </c>
      <c r="C51">
        <v>13.922</v>
      </c>
      <c r="D51">
        <v>11.63</v>
      </c>
      <c r="E51">
        <v>13.97</v>
      </c>
      <c r="F51">
        <v>11.158</v>
      </c>
      <c r="G51" t="s">
        <v>324</v>
      </c>
      <c r="H51" s="5" t="s">
        <v>325</v>
      </c>
      <c r="I51" s="6" t="str">
        <f t="shared" si="1"/>
        <v>-15.300%</v>
      </c>
      <c r="K51" s="4" t="s">
        <v>323</v>
      </c>
      <c r="L51" s="4">
        <v>57.42</v>
      </c>
      <c r="M51" s="4">
        <v>55.21</v>
      </c>
      <c r="N51" s="4">
        <v>57.51</v>
      </c>
      <c r="O51" s="4">
        <v>50.41</v>
      </c>
      <c r="P51" s="4" t="s">
        <v>326</v>
      </c>
      <c r="Q51" s="7" t="s">
        <v>327</v>
      </c>
      <c r="R51" s="6" t="str">
        <f t="shared" si="2"/>
        <v>-4.650%</v>
      </c>
      <c r="T51" s="4" t="s">
        <v>323</v>
      </c>
      <c r="U51" s="4">
        <v>95.2</v>
      </c>
      <c r="V51" s="4">
        <v>103.07</v>
      </c>
      <c r="W51" s="4">
        <v>110.0</v>
      </c>
      <c r="X51" s="4">
        <v>87.0</v>
      </c>
      <c r="Y51" s="4" t="s">
        <v>328</v>
      </c>
      <c r="Z51" s="7" t="s">
        <v>329</v>
      </c>
      <c r="AA51" s="6" t="str">
        <f t="shared" si="3"/>
        <v>9.947%</v>
      </c>
    </row>
    <row r="52" ht="15.75" customHeight="1">
      <c r="B52" s="3" t="s">
        <v>330</v>
      </c>
      <c r="C52">
        <v>11.792</v>
      </c>
      <c r="D52">
        <v>14.128</v>
      </c>
      <c r="E52">
        <v>14.498</v>
      </c>
      <c r="F52">
        <v>11.626</v>
      </c>
      <c r="G52" t="s">
        <v>331</v>
      </c>
      <c r="H52" s="5" t="s">
        <v>332</v>
      </c>
      <c r="I52" s="6" t="str">
        <f t="shared" si="1"/>
        <v>18.165%</v>
      </c>
      <c r="K52" s="4" t="s">
        <v>330</v>
      </c>
      <c r="L52" s="4">
        <v>54.75</v>
      </c>
      <c r="M52" s="4">
        <v>67.28</v>
      </c>
      <c r="N52" s="4">
        <v>68.24</v>
      </c>
      <c r="O52" s="4">
        <v>54.56</v>
      </c>
      <c r="P52" s="4" t="s">
        <v>333</v>
      </c>
      <c r="Q52" s="7" t="s">
        <v>334</v>
      </c>
      <c r="R52" s="6" t="str">
        <f t="shared" si="2"/>
        <v>20.402%</v>
      </c>
      <c r="T52" s="4" t="s">
        <v>330</v>
      </c>
      <c r="U52" s="4">
        <v>104.67</v>
      </c>
      <c r="V52" s="4">
        <v>93.33</v>
      </c>
      <c r="W52" s="4">
        <v>111.0</v>
      </c>
      <c r="X52" s="4">
        <v>92.47</v>
      </c>
      <c r="Y52" s="4" t="s">
        <v>335</v>
      </c>
      <c r="Z52" s="7" t="s">
        <v>336</v>
      </c>
      <c r="AA52" s="6" t="str">
        <f t="shared" si="3"/>
        <v>-10.834%</v>
      </c>
    </row>
    <row r="53" ht="15.75" customHeight="1">
      <c r="B53" s="3" t="s">
        <v>337</v>
      </c>
      <c r="C53">
        <v>13.934</v>
      </c>
      <c r="D53">
        <v>12.812</v>
      </c>
      <c r="E53">
        <v>14.18</v>
      </c>
      <c r="F53">
        <v>12.206</v>
      </c>
      <c r="G53" t="s">
        <v>338</v>
      </c>
      <c r="H53" s="5" t="s">
        <v>339</v>
      </c>
      <c r="I53" s="6" t="str">
        <f t="shared" si="1"/>
        <v>-6.832%</v>
      </c>
      <c r="K53" s="4" t="s">
        <v>337</v>
      </c>
      <c r="L53" s="4">
        <v>65.92</v>
      </c>
      <c r="M53" s="4">
        <v>62.8</v>
      </c>
      <c r="N53" s="4">
        <v>67.45</v>
      </c>
      <c r="O53" s="4">
        <v>60.5</v>
      </c>
      <c r="P53" s="4" t="s">
        <v>340</v>
      </c>
      <c r="Q53" s="7" t="s">
        <v>341</v>
      </c>
      <c r="R53" s="6" t="str">
        <f t="shared" si="2"/>
        <v>1.714%</v>
      </c>
      <c r="T53" s="4" t="s">
        <v>337</v>
      </c>
      <c r="U53" s="4">
        <v>93.33</v>
      </c>
      <c r="V53" s="4">
        <v>75.67</v>
      </c>
      <c r="W53" s="4">
        <v>93.33</v>
      </c>
      <c r="X53" s="4">
        <v>67.93</v>
      </c>
      <c r="Y53" s="4" t="s">
        <v>342</v>
      </c>
      <c r="Z53" s="7" t="s">
        <v>343</v>
      </c>
      <c r="AA53" s="6" t="str">
        <f t="shared" si="3"/>
        <v>-15.783%</v>
      </c>
    </row>
    <row r="54" ht="15.75" customHeight="1">
      <c r="B54" s="3" t="s">
        <v>344</v>
      </c>
      <c r="C54">
        <v>12.982</v>
      </c>
      <c r="D54">
        <v>14.784</v>
      </c>
      <c r="E54">
        <v>15.03</v>
      </c>
      <c r="F54">
        <v>12.086</v>
      </c>
      <c r="G54" t="s">
        <v>345</v>
      </c>
      <c r="H54" s="5" t="s">
        <v>346</v>
      </c>
      <c r="I54" s="6" t="str">
        <f t="shared" si="1"/>
        <v>14.004%</v>
      </c>
      <c r="K54" s="4" t="s">
        <v>344</v>
      </c>
      <c r="L54" s="4">
        <v>67.05</v>
      </c>
      <c r="M54" s="4">
        <v>63.68</v>
      </c>
      <c r="N54" s="4">
        <v>67.4</v>
      </c>
      <c r="O54" s="4">
        <v>60.69</v>
      </c>
      <c r="P54" s="4" t="s">
        <v>347</v>
      </c>
      <c r="Q54" s="7" t="s">
        <v>348</v>
      </c>
      <c r="R54" s="6" t="str">
        <f t="shared" si="2"/>
        <v>-5.220%</v>
      </c>
      <c r="T54" s="4" t="s">
        <v>344</v>
      </c>
      <c r="U54" s="4">
        <v>78.6</v>
      </c>
      <c r="V54" s="4">
        <v>73.73</v>
      </c>
      <c r="W54" s="4">
        <v>81.47</v>
      </c>
      <c r="X54" s="4">
        <v>70.67</v>
      </c>
      <c r="Y54" s="4" t="s">
        <v>349</v>
      </c>
      <c r="Z54" s="7" t="s">
        <v>350</v>
      </c>
      <c r="AA54" s="6" t="str">
        <f t="shared" si="3"/>
        <v>-4.835%</v>
      </c>
    </row>
    <row r="55" ht="15.75" customHeight="1">
      <c r="B55" s="3" t="s">
        <v>351</v>
      </c>
      <c r="C55">
        <v>14.8</v>
      </c>
      <c r="D55">
        <v>16.3</v>
      </c>
      <c r="E55">
        <v>16.55</v>
      </c>
      <c r="F55">
        <v>12.166</v>
      </c>
      <c r="G55" t="s">
        <v>352</v>
      </c>
      <c r="H55" s="5" t="s">
        <v>353</v>
      </c>
      <c r="I55" s="6" t="str">
        <f t="shared" si="1"/>
        <v>10.608%</v>
      </c>
      <c r="K55" s="4" t="s">
        <v>351</v>
      </c>
      <c r="L55" s="4">
        <v>63.55</v>
      </c>
      <c r="M55" s="4">
        <v>69.97</v>
      </c>
      <c r="N55" s="4">
        <v>70.13</v>
      </c>
      <c r="O55" s="4">
        <v>54.63</v>
      </c>
      <c r="P55" s="4" t="s">
        <v>354</v>
      </c>
      <c r="Q55" s="7" t="s">
        <v>355</v>
      </c>
      <c r="R55" s="6" t="str">
        <f t="shared" si="2"/>
        <v>9.992%</v>
      </c>
      <c r="T55" s="4" t="s">
        <v>351</v>
      </c>
      <c r="U55" s="4">
        <v>74.8</v>
      </c>
      <c r="V55" s="4">
        <v>80.8</v>
      </c>
      <c r="W55" s="4">
        <v>82.73</v>
      </c>
      <c r="X55" s="4">
        <v>55.0</v>
      </c>
      <c r="Y55" s="4" t="s">
        <v>356</v>
      </c>
      <c r="Z55" s="7" t="s">
        <v>357</v>
      </c>
      <c r="AA55" s="6" t="str">
        <f t="shared" si="3"/>
        <v>5.789%</v>
      </c>
    </row>
    <row r="56" ht="15.75" customHeight="1">
      <c r="B56" s="3" t="s">
        <v>358</v>
      </c>
      <c r="C56">
        <v>16.37</v>
      </c>
      <c r="D56">
        <v>17.15</v>
      </c>
      <c r="E56">
        <v>17.626</v>
      </c>
      <c r="F56">
        <v>15.632</v>
      </c>
      <c r="G56" t="s">
        <v>359</v>
      </c>
      <c r="H56" s="5" t="s">
        <v>360</v>
      </c>
      <c r="I56" s="6" t="str">
        <f t="shared" si="1"/>
        <v>3.665%</v>
      </c>
      <c r="K56" s="4" t="s">
        <v>358</v>
      </c>
      <c r="L56" s="4">
        <v>69.9</v>
      </c>
      <c r="M56" s="4">
        <v>70.42</v>
      </c>
      <c r="N56" s="4">
        <v>77.8</v>
      </c>
      <c r="O56" s="4">
        <v>66.99</v>
      </c>
      <c r="P56" s="4" t="s">
        <v>361</v>
      </c>
      <c r="Q56" s="7" t="s">
        <v>362</v>
      </c>
      <c r="R56" s="6" t="str">
        <f t="shared" si="2"/>
        <v>-0.086%</v>
      </c>
      <c r="T56" s="4" t="s">
        <v>358</v>
      </c>
      <c r="U56" s="4">
        <v>79.13</v>
      </c>
      <c r="V56" s="4">
        <v>76.33</v>
      </c>
      <c r="W56" s="4">
        <v>85.13</v>
      </c>
      <c r="X56" s="4">
        <v>75.53</v>
      </c>
      <c r="Y56" s="4" t="s">
        <v>363</v>
      </c>
      <c r="Z56" s="7" t="s">
        <v>364</v>
      </c>
      <c r="AA56" s="6" t="str">
        <f t="shared" si="3"/>
        <v>-6.736%</v>
      </c>
    </row>
    <row r="57" ht="15.75" customHeight="1">
      <c r="B57" s="3" t="s">
        <v>365</v>
      </c>
      <c r="C57">
        <v>16.97</v>
      </c>
      <c r="D57">
        <v>16.67</v>
      </c>
      <c r="E57">
        <v>19.35</v>
      </c>
      <c r="F57">
        <v>16.374</v>
      </c>
      <c r="G57" t="s">
        <v>366</v>
      </c>
      <c r="H57" s="5" t="s">
        <v>367</v>
      </c>
      <c r="I57" s="6" t="str">
        <f t="shared" si="1"/>
        <v>-1.674%</v>
      </c>
      <c r="K57" s="4" t="s">
        <v>365</v>
      </c>
      <c r="L57" s="4">
        <v>69.84</v>
      </c>
      <c r="M57" s="4">
        <v>68.7</v>
      </c>
      <c r="N57" s="4">
        <v>76.42</v>
      </c>
      <c r="O57" s="4">
        <v>67.98</v>
      </c>
      <c r="P57" s="4" t="s">
        <v>368</v>
      </c>
      <c r="Q57" s="7" t="s">
        <v>369</v>
      </c>
      <c r="R57" s="6" t="str">
        <f t="shared" si="2"/>
        <v>-1.418%</v>
      </c>
      <c r="T57" s="4" t="s">
        <v>365</v>
      </c>
      <c r="U57" s="4">
        <v>73.8</v>
      </c>
      <c r="V57" s="4">
        <v>89.33</v>
      </c>
      <c r="W57" s="4">
        <v>93.2</v>
      </c>
      <c r="X57" s="4">
        <v>72.27</v>
      </c>
      <c r="Y57" s="4" t="s">
        <v>370</v>
      </c>
      <c r="Z57" s="7" t="s">
        <v>371</v>
      </c>
      <c r="AA57" s="6" t="str">
        <f t="shared" si="3"/>
        <v>20.420%</v>
      </c>
    </row>
    <row r="58" ht="15.75" customHeight="1">
      <c r="B58" s="3" t="s">
        <v>372</v>
      </c>
      <c r="C58">
        <v>16.686</v>
      </c>
      <c r="D58">
        <v>15.38</v>
      </c>
      <c r="E58">
        <v>17.02</v>
      </c>
      <c r="F58">
        <v>15.264</v>
      </c>
      <c r="G58" t="s">
        <v>373</v>
      </c>
      <c r="H58" s="5" t="s">
        <v>299</v>
      </c>
      <c r="I58" s="6" t="str">
        <f t="shared" si="1"/>
        <v>-9.265%</v>
      </c>
      <c r="K58" s="4" t="s">
        <v>372</v>
      </c>
      <c r="L58" s="4">
        <v>68.85</v>
      </c>
      <c r="M58" s="4">
        <v>69.9</v>
      </c>
      <c r="N58" s="4">
        <v>76.06</v>
      </c>
      <c r="O58" s="4">
        <v>66.62</v>
      </c>
      <c r="P58" s="4" t="s">
        <v>374</v>
      </c>
      <c r="Q58" s="7" t="s">
        <v>375</v>
      </c>
      <c r="R58" s="6" t="str">
        <f t="shared" si="2"/>
        <v>1.525%</v>
      </c>
      <c r="T58" s="4" t="s">
        <v>372</v>
      </c>
      <c r="U58" s="4">
        <v>88.87</v>
      </c>
      <c r="V58" s="4">
        <v>103.07</v>
      </c>
      <c r="W58" s="4">
        <v>103.93</v>
      </c>
      <c r="X58" s="4">
        <v>82.33</v>
      </c>
      <c r="Y58" s="4" t="s">
        <v>376</v>
      </c>
      <c r="Z58" s="7" t="s">
        <v>377</v>
      </c>
      <c r="AA58" s="6" t="str">
        <f t="shared" si="3"/>
        <v>14.921%</v>
      </c>
    </row>
    <row r="59" ht="15.75" customHeight="1">
      <c r="B59" s="3" t="s">
        <v>378</v>
      </c>
      <c r="C59">
        <v>15.14</v>
      </c>
      <c r="D59">
        <v>17.28</v>
      </c>
      <c r="E59">
        <v>18.198</v>
      </c>
      <c r="F59">
        <v>14.838</v>
      </c>
      <c r="G59" t="s">
        <v>379</v>
      </c>
      <c r="H59" s="5" t="s">
        <v>380</v>
      </c>
      <c r="I59" s="6" t="str">
        <f t="shared" si="1"/>
        <v>13.937%</v>
      </c>
      <c r="K59" s="4" t="s">
        <v>378</v>
      </c>
      <c r="L59" s="4">
        <v>69.9</v>
      </c>
      <c r="M59" s="4">
        <v>72.72</v>
      </c>
      <c r="N59" s="4">
        <v>76.58</v>
      </c>
      <c r="O59" s="4">
        <v>67.41</v>
      </c>
      <c r="P59" s="4" t="s">
        <v>381</v>
      </c>
      <c r="Q59" s="7" t="s">
        <v>382</v>
      </c>
      <c r="R59" s="6" t="str">
        <f t="shared" si="2"/>
        <v>2.446%</v>
      </c>
      <c r="T59" s="4" t="s">
        <v>378</v>
      </c>
      <c r="U59" s="4">
        <v>102.13</v>
      </c>
      <c r="V59" s="4">
        <v>97.33</v>
      </c>
      <c r="W59" s="4">
        <v>106.4</v>
      </c>
      <c r="X59" s="4">
        <v>93.53</v>
      </c>
      <c r="Y59" s="4" t="s">
        <v>383</v>
      </c>
      <c r="Z59" s="7" t="s">
        <v>384</v>
      </c>
      <c r="AA59" s="6" t="str">
        <f t="shared" si="3"/>
        <v>-3.192%</v>
      </c>
    </row>
    <row r="60" ht="15.75" customHeight="1">
      <c r="B60" s="3" t="s">
        <v>385</v>
      </c>
      <c r="C60">
        <v>17.25</v>
      </c>
      <c r="D60">
        <v>16.22</v>
      </c>
      <c r="E60">
        <v>17.996</v>
      </c>
      <c r="F60">
        <v>15.77</v>
      </c>
      <c r="G60" t="s">
        <v>386</v>
      </c>
      <c r="H60" s="5" t="s">
        <v>387</v>
      </c>
      <c r="I60" s="6" t="str">
        <f t="shared" si="1"/>
        <v>-4.220%</v>
      </c>
      <c r="K60" s="4" t="s">
        <v>385</v>
      </c>
      <c r="L60" s="4">
        <v>71.61</v>
      </c>
      <c r="M60" s="4">
        <v>62.78</v>
      </c>
      <c r="N60" s="4">
        <v>71.85</v>
      </c>
      <c r="O60" s="4">
        <v>62.71</v>
      </c>
      <c r="P60" s="4" t="s">
        <v>388</v>
      </c>
      <c r="Q60" s="7" t="s">
        <v>389</v>
      </c>
      <c r="R60" s="6" t="str">
        <f t="shared" si="2"/>
        <v>-9.817%</v>
      </c>
      <c r="T60" s="4" t="s">
        <v>385</v>
      </c>
      <c r="U60" s="4">
        <v>98.87</v>
      </c>
      <c r="V60" s="4">
        <v>82.0</v>
      </c>
      <c r="W60" s="4">
        <v>108.2</v>
      </c>
      <c r="X60" s="4">
        <v>78.4</v>
      </c>
      <c r="Y60" s="4" t="s">
        <v>390</v>
      </c>
      <c r="Z60" s="7" t="s">
        <v>391</v>
      </c>
      <c r="AA60" s="6" t="str">
        <f t="shared" si="3"/>
        <v>-18.074%</v>
      </c>
    </row>
    <row r="61" ht="15.75" customHeight="1">
      <c r="B61" s="3" t="s">
        <v>392</v>
      </c>
      <c r="C61">
        <v>16.522</v>
      </c>
      <c r="D61">
        <v>17.09</v>
      </c>
      <c r="E61">
        <v>17.736</v>
      </c>
      <c r="F61">
        <v>15.91</v>
      </c>
      <c r="G61" t="s">
        <v>393</v>
      </c>
      <c r="H61" s="5" t="s">
        <v>394</v>
      </c>
      <c r="I61" s="6" t="str">
        <f t="shared" si="1"/>
        <v>2.482%</v>
      </c>
      <c r="K61" s="4" t="s">
        <v>392</v>
      </c>
      <c r="L61" s="4">
        <v>64.58</v>
      </c>
      <c r="M61" s="4">
        <v>60.48</v>
      </c>
      <c r="N61" s="4">
        <v>65.37</v>
      </c>
      <c r="O61" s="4">
        <v>56.8</v>
      </c>
      <c r="P61" s="4" t="s">
        <v>395</v>
      </c>
      <c r="Q61" s="7" t="s">
        <v>396</v>
      </c>
      <c r="R61" s="6" t="str">
        <f t="shared" si="2"/>
        <v>-8.222%</v>
      </c>
      <c r="T61" s="4" t="s">
        <v>392</v>
      </c>
      <c r="U61" s="4">
        <v>81.0</v>
      </c>
      <c r="V61" s="4">
        <v>87.67</v>
      </c>
      <c r="W61" s="4">
        <v>92.47</v>
      </c>
      <c r="X61" s="4">
        <v>77.53</v>
      </c>
      <c r="Y61" s="4" t="s">
        <v>397</v>
      </c>
      <c r="Z61" s="7" t="s">
        <v>398</v>
      </c>
      <c r="AA61" s="6" t="str">
        <f t="shared" si="3"/>
        <v>8.395%</v>
      </c>
    </row>
    <row r="62" ht="15.75" customHeight="1">
      <c r="B62" s="3" t="s">
        <v>399</v>
      </c>
      <c r="C62">
        <v>16.932</v>
      </c>
      <c r="D62">
        <v>16.332</v>
      </c>
      <c r="E62">
        <v>18.738</v>
      </c>
      <c r="F62">
        <v>16.26</v>
      </c>
      <c r="G62" t="s">
        <v>400</v>
      </c>
      <c r="H62" s="5" t="s">
        <v>401</v>
      </c>
      <c r="I62" s="6" t="str">
        <f t="shared" si="1"/>
        <v>-4.382%</v>
      </c>
      <c r="K62" s="4" t="s">
        <v>399</v>
      </c>
      <c r="L62" s="4">
        <v>59.27</v>
      </c>
      <c r="M62" s="4">
        <v>63.8</v>
      </c>
      <c r="N62" s="4">
        <v>64.83</v>
      </c>
      <c r="O62" s="4">
        <v>57.56</v>
      </c>
      <c r="P62" s="4" t="s">
        <v>402</v>
      </c>
      <c r="Q62" s="7" t="s">
        <v>403</v>
      </c>
      <c r="R62" s="6" t="str">
        <f t="shared" si="2"/>
        <v>6.344%</v>
      </c>
      <c r="T62" s="4" t="s">
        <v>399</v>
      </c>
      <c r="U62" s="4">
        <v>87.8</v>
      </c>
      <c r="V62" s="4">
        <v>82.67</v>
      </c>
      <c r="W62" s="4">
        <v>98.33</v>
      </c>
      <c r="X62" s="4">
        <v>80.8</v>
      </c>
      <c r="Y62" s="4" t="s">
        <v>404</v>
      </c>
      <c r="Z62" s="7" t="s">
        <v>299</v>
      </c>
      <c r="AA62" s="6" t="str">
        <f t="shared" si="3"/>
        <v>-9.260%</v>
      </c>
    </row>
    <row r="63" ht="15.75" customHeight="1">
      <c r="B63" s="3" t="s">
        <v>405</v>
      </c>
      <c r="C63">
        <v>16.19</v>
      </c>
      <c r="D63">
        <v>16.61</v>
      </c>
      <c r="E63">
        <v>17.134</v>
      </c>
      <c r="F63">
        <v>14.858</v>
      </c>
      <c r="G63" t="s">
        <v>406</v>
      </c>
      <c r="H63" s="5" t="s">
        <v>407</v>
      </c>
      <c r="I63" s="6" t="str">
        <f t="shared" si="1"/>
        <v>2.248%</v>
      </c>
      <c r="K63" s="4" t="s">
        <v>405</v>
      </c>
      <c r="L63" s="4">
        <v>63.03</v>
      </c>
      <c r="M63" s="4">
        <v>63.82</v>
      </c>
      <c r="N63" s="4">
        <v>64.29</v>
      </c>
      <c r="O63" s="4">
        <v>56.58</v>
      </c>
      <c r="P63" s="4" t="s">
        <v>408</v>
      </c>
      <c r="Q63" s="7" t="s">
        <v>409</v>
      </c>
      <c r="R63" s="6" t="str">
        <f t="shared" si="2"/>
        <v>0.317%</v>
      </c>
      <c r="T63" s="4" t="s">
        <v>405</v>
      </c>
      <c r="U63" s="4">
        <v>79.67</v>
      </c>
      <c r="V63" s="4">
        <v>75.2</v>
      </c>
      <c r="W63" s="4">
        <v>80.0</v>
      </c>
      <c r="X63" s="4">
        <v>65.33</v>
      </c>
      <c r="Y63" s="4" t="s">
        <v>410</v>
      </c>
      <c r="Z63" s="7" t="s">
        <v>411</v>
      </c>
      <c r="AA63" s="6" t="str">
        <f t="shared" si="3"/>
        <v>-2.849%</v>
      </c>
    </row>
    <row r="64" ht="15.75" customHeight="1">
      <c r="B64" s="3" t="s">
        <v>412</v>
      </c>
      <c r="C64">
        <v>16.554</v>
      </c>
      <c r="D64">
        <v>16.31</v>
      </c>
      <c r="E64">
        <v>17.558</v>
      </c>
      <c r="F64">
        <v>16.0</v>
      </c>
      <c r="G64" t="s">
        <v>413</v>
      </c>
      <c r="H64" s="5" t="s">
        <v>414</v>
      </c>
      <c r="I64" s="6" t="str">
        <f t="shared" si="1"/>
        <v>-1.788%</v>
      </c>
      <c r="K64" s="4" t="s">
        <v>412</v>
      </c>
      <c r="L64" s="4">
        <v>63.23</v>
      </c>
      <c r="M64" s="4">
        <v>64.37</v>
      </c>
      <c r="N64" s="4">
        <v>67.34</v>
      </c>
      <c r="O64" s="4">
        <v>62.43</v>
      </c>
      <c r="P64" s="4" t="s">
        <v>415</v>
      </c>
      <c r="Q64" s="7" t="s">
        <v>416</v>
      </c>
      <c r="R64" s="6" t="str">
        <f t="shared" si="2"/>
        <v>0.901%</v>
      </c>
      <c r="T64" s="4" t="s">
        <v>412</v>
      </c>
      <c r="U64" s="4">
        <v>77.4</v>
      </c>
      <c r="V64" s="4">
        <v>60.33</v>
      </c>
      <c r="W64" s="4">
        <v>80.0</v>
      </c>
      <c r="X64" s="4">
        <v>59.83</v>
      </c>
      <c r="Y64" s="4" t="s">
        <v>417</v>
      </c>
      <c r="Z64" s="7" t="s">
        <v>418</v>
      </c>
      <c r="AA64" s="6" t="str">
        <f t="shared" si="3"/>
        <v>-22.481%</v>
      </c>
    </row>
    <row r="65" ht="15.75" customHeight="1">
      <c r="B65" s="3" t="s">
        <v>419</v>
      </c>
      <c r="C65">
        <v>16.258</v>
      </c>
      <c r="D65">
        <v>13.842</v>
      </c>
      <c r="E65">
        <v>16.366</v>
      </c>
      <c r="F65">
        <v>13.756</v>
      </c>
      <c r="G65" t="s">
        <v>420</v>
      </c>
      <c r="H65" s="5" t="s">
        <v>421</v>
      </c>
      <c r="I65" s="6"/>
      <c r="K65" s="4" t="s">
        <v>419</v>
      </c>
      <c r="L65" s="4">
        <v>63.8</v>
      </c>
      <c r="M65" s="4">
        <v>62.25</v>
      </c>
      <c r="N65" s="4">
        <v>65.66</v>
      </c>
      <c r="O65" s="4">
        <v>58.74</v>
      </c>
      <c r="P65" s="4" t="s">
        <v>422</v>
      </c>
      <c r="Q65" s="7" t="s">
        <v>423</v>
      </c>
      <c r="T65" s="4" t="s">
        <v>419</v>
      </c>
      <c r="U65" s="4">
        <v>60.0</v>
      </c>
      <c r="V65" s="4">
        <v>53.6</v>
      </c>
      <c r="W65" s="4">
        <v>60.67</v>
      </c>
      <c r="X65" s="4">
        <v>46.13</v>
      </c>
      <c r="Y65" s="4" t="s">
        <v>424</v>
      </c>
      <c r="Z65" s="7" t="s">
        <v>425</v>
      </c>
    </row>
    <row r="66" ht="15.75" customHeight="1">
      <c r="B66" s="8"/>
    </row>
    <row r="67" ht="15.75" customHeight="1">
      <c r="B67" s="8"/>
    </row>
    <row r="68" ht="15.75" customHeight="1">
      <c r="B68" s="1" t="s">
        <v>426</v>
      </c>
      <c r="C68" s="1"/>
      <c r="D68" t="s">
        <v>427</v>
      </c>
      <c r="K68" s="9" t="s">
        <v>428</v>
      </c>
      <c r="L68" t="s">
        <v>429</v>
      </c>
      <c r="T68" s="9" t="s">
        <v>430</v>
      </c>
      <c r="U68" s="10"/>
      <c r="V68" t="s">
        <v>431</v>
      </c>
    </row>
    <row r="69" ht="15.75" customHeight="1">
      <c r="B69" s="4" t="s">
        <v>3</v>
      </c>
      <c r="C69" s="4" t="s">
        <v>4</v>
      </c>
      <c r="D69" s="4" t="s">
        <v>5</v>
      </c>
      <c r="E69" s="4" t="s">
        <v>6</v>
      </c>
      <c r="F69" s="4" t="s">
        <v>7</v>
      </c>
      <c r="G69" s="4" t="s">
        <v>8</v>
      </c>
      <c r="H69" s="4" t="s">
        <v>9</v>
      </c>
      <c r="I69" s="4" t="s">
        <v>432</v>
      </c>
      <c r="K69" s="4" t="s">
        <v>3</v>
      </c>
      <c r="L69" s="4" t="s">
        <v>4</v>
      </c>
      <c r="M69" s="4" t="s">
        <v>5</v>
      </c>
      <c r="N69" s="4" t="s">
        <v>6</v>
      </c>
      <c r="O69" s="4" t="s">
        <v>7</v>
      </c>
      <c r="P69" s="4" t="s">
        <v>8</v>
      </c>
      <c r="Q69" s="4" t="s">
        <v>9</v>
      </c>
      <c r="R69" s="4" t="s">
        <v>433</v>
      </c>
      <c r="T69" s="4" t="s">
        <v>3</v>
      </c>
      <c r="U69" s="4" t="s">
        <v>4</v>
      </c>
      <c r="V69" s="4" t="s">
        <v>5</v>
      </c>
      <c r="W69" s="4" t="s">
        <v>6</v>
      </c>
      <c r="X69" s="4" t="s">
        <v>7</v>
      </c>
      <c r="Y69" s="4" t="s">
        <v>8</v>
      </c>
      <c r="Z69" s="4" t="s">
        <v>9</v>
      </c>
      <c r="AA69" s="4" t="s">
        <v>433</v>
      </c>
    </row>
    <row r="70" ht="15.75" customHeight="1">
      <c r="B70" s="4" t="s">
        <v>12</v>
      </c>
      <c r="C70" s="4">
        <v>596.63</v>
      </c>
      <c r="D70" s="4">
        <v>588.78</v>
      </c>
      <c r="E70" s="4">
        <v>598.25</v>
      </c>
      <c r="F70" s="4">
        <v>588.02</v>
      </c>
      <c r="G70" s="4"/>
      <c r="H70" s="7" t="s">
        <v>434</v>
      </c>
      <c r="I70" s="6" t="str">
        <f t="shared" ref="I70:I128" si="4">(C71/C70)-1</f>
        <v>-2.261%</v>
      </c>
      <c r="K70" s="4" t="s">
        <v>12</v>
      </c>
      <c r="L70" s="11">
        <v>23168.08</v>
      </c>
      <c r="M70" s="11">
        <v>23326.89</v>
      </c>
      <c r="N70" s="11">
        <v>23377.65</v>
      </c>
      <c r="O70" s="11">
        <v>22677.92</v>
      </c>
      <c r="P70" s="4" t="s">
        <v>435</v>
      </c>
      <c r="Q70" s="7" t="s">
        <v>436</v>
      </c>
      <c r="R70" s="6" t="str">
        <f t="shared" ref="R70:R128" si="5">(L71/L70)-1</f>
        <v>-2.107%</v>
      </c>
      <c r="T70" s="4" t="s">
        <v>12</v>
      </c>
      <c r="U70" s="11">
        <v>25116.53</v>
      </c>
      <c r="V70" s="11">
        <v>25357.23</v>
      </c>
      <c r="W70" s="11">
        <v>25429.76</v>
      </c>
      <c r="X70" s="11">
        <v>24901.77</v>
      </c>
      <c r="Y70" s="4" t="s">
        <v>437</v>
      </c>
      <c r="Z70" s="7" t="s">
        <v>438</v>
      </c>
      <c r="AA70" s="6" t="str">
        <f t="shared" ref="AA70:AA128" si="6">(U71/U70)-1</f>
        <v>-1.307%</v>
      </c>
    </row>
    <row r="71" ht="15.75" customHeight="1">
      <c r="B71" s="4" t="s">
        <v>19</v>
      </c>
      <c r="C71" s="4">
        <v>583.14</v>
      </c>
      <c r="D71" s="4">
        <v>628.7</v>
      </c>
      <c r="E71" s="4">
        <v>628.7</v>
      </c>
      <c r="F71" s="4">
        <v>559.05</v>
      </c>
      <c r="G71" s="4"/>
      <c r="H71" s="7" t="s">
        <v>439</v>
      </c>
      <c r="I71" s="6" t="str">
        <f t="shared" si="4"/>
        <v>8.696%</v>
      </c>
      <c r="K71" s="4" t="s">
        <v>19</v>
      </c>
      <c r="L71" s="11">
        <v>22680.04</v>
      </c>
      <c r="M71" s="11">
        <v>24695.44</v>
      </c>
      <c r="N71" s="11">
        <v>24897.61</v>
      </c>
      <c r="O71" s="11">
        <v>21863.81</v>
      </c>
      <c r="P71" s="4" t="s">
        <v>440</v>
      </c>
      <c r="Q71" s="7" t="s">
        <v>441</v>
      </c>
      <c r="R71" s="6" t="str">
        <f t="shared" si="5"/>
        <v>11.482%</v>
      </c>
      <c r="T71" s="4" t="s">
        <v>19</v>
      </c>
      <c r="U71" s="11">
        <v>24788.14</v>
      </c>
      <c r="V71" s="11">
        <v>26305.58</v>
      </c>
      <c r="W71" s="11">
        <v>26403.85</v>
      </c>
      <c r="X71" s="11">
        <v>24203.54</v>
      </c>
      <c r="Y71" s="4" t="s">
        <v>442</v>
      </c>
      <c r="Z71" s="7" t="s">
        <v>443</v>
      </c>
      <c r="AA71" s="6" t="str">
        <f t="shared" si="6"/>
        <v>7.433%</v>
      </c>
    </row>
    <row r="72" ht="15.75" customHeight="1">
      <c r="B72" s="4" t="s">
        <v>26</v>
      </c>
      <c r="C72" s="4">
        <v>633.85</v>
      </c>
      <c r="D72" s="4">
        <v>607.62</v>
      </c>
      <c r="E72" s="4">
        <v>636.16</v>
      </c>
      <c r="F72" s="4">
        <v>606.87</v>
      </c>
      <c r="G72" s="4"/>
      <c r="H72" s="7" t="s">
        <v>444</v>
      </c>
      <c r="I72" s="6" t="str">
        <f t="shared" si="4"/>
        <v>-3.605%</v>
      </c>
      <c r="K72" s="4" t="s">
        <v>26</v>
      </c>
      <c r="L72" s="11">
        <v>25284.26</v>
      </c>
      <c r="M72" s="11">
        <v>24392.09</v>
      </c>
      <c r="N72" s="11">
        <v>25405.97</v>
      </c>
      <c r="O72" s="11">
        <v>24272.62</v>
      </c>
      <c r="P72" s="4" t="s">
        <v>445</v>
      </c>
      <c r="Q72" s="7" t="s">
        <v>446</v>
      </c>
      <c r="R72" s="6" t="str">
        <f t="shared" si="5"/>
        <v>-2.948%</v>
      </c>
      <c r="T72" s="4" t="s">
        <v>26</v>
      </c>
      <c r="U72" s="11">
        <v>26630.54</v>
      </c>
      <c r="V72" s="11">
        <v>27097.34</v>
      </c>
      <c r="W72" s="11">
        <v>27397.65</v>
      </c>
      <c r="X72" s="11">
        <v>26295.03</v>
      </c>
      <c r="Y72" s="4" t="s">
        <v>447</v>
      </c>
      <c r="Z72" s="7" t="s">
        <v>448</v>
      </c>
      <c r="AA72" s="6" t="str">
        <f t="shared" si="6"/>
        <v>2.841%</v>
      </c>
    </row>
    <row r="73" ht="15.75" customHeight="1">
      <c r="B73" s="4" t="s">
        <v>33</v>
      </c>
      <c r="C73" s="4">
        <v>611.0</v>
      </c>
      <c r="D73" s="4">
        <v>592.32</v>
      </c>
      <c r="E73" s="4">
        <v>615.07</v>
      </c>
      <c r="F73" s="4">
        <v>592.3</v>
      </c>
      <c r="G73" s="4"/>
      <c r="H73" s="7" t="s">
        <v>449</v>
      </c>
      <c r="I73" s="6" t="str">
        <f t="shared" si="4"/>
        <v>-2.982%</v>
      </c>
      <c r="K73" s="4" t="s">
        <v>33</v>
      </c>
      <c r="L73" s="11">
        <v>24538.81</v>
      </c>
      <c r="M73" s="11">
        <v>24499.51</v>
      </c>
      <c r="N73" s="11">
        <v>25507.79</v>
      </c>
      <c r="O73" s="11">
        <v>24266.33</v>
      </c>
      <c r="P73" s="4" t="s">
        <v>450</v>
      </c>
      <c r="Q73" s="7" t="s">
        <v>451</v>
      </c>
      <c r="R73" s="6" t="str">
        <f t="shared" si="5"/>
        <v>-0.197%</v>
      </c>
      <c r="T73" s="4" t="s">
        <v>33</v>
      </c>
      <c r="U73" s="11">
        <v>27387.11</v>
      </c>
      <c r="V73" s="11">
        <v>25717.42</v>
      </c>
      <c r="W73" s="11">
        <v>28056.1</v>
      </c>
      <c r="X73" s="11">
        <v>25717.42</v>
      </c>
      <c r="Y73" s="4" t="s">
        <v>452</v>
      </c>
      <c r="Z73" s="7" t="s">
        <v>453</v>
      </c>
      <c r="AA73" s="6" t="str">
        <f t="shared" si="6"/>
        <v>-6.414%</v>
      </c>
    </row>
    <row r="74" ht="15.75" customHeight="1">
      <c r="B74" s="4" t="s">
        <v>40</v>
      </c>
      <c r="C74" s="4">
        <v>592.78</v>
      </c>
      <c r="D74" s="4">
        <v>575.26</v>
      </c>
      <c r="E74" s="4">
        <v>593.42</v>
      </c>
      <c r="F74" s="4">
        <v>572.71</v>
      </c>
      <c r="G74" s="4"/>
      <c r="H74" s="7" t="s">
        <v>454</v>
      </c>
      <c r="I74" s="6" t="str">
        <f t="shared" si="4"/>
        <v>-2.758%</v>
      </c>
      <c r="K74" s="4" t="s">
        <v>40</v>
      </c>
      <c r="L74" s="11">
        <v>24490.41</v>
      </c>
      <c r="M74" s="11">
        <v>23731.29</v>
      </c>
      <c r="N74" s="11">
        <v>24527.94</v>
      </c>
      <c r="O74" s="11">
        <v>23433.48</v>
      </c>
      <c r="P74" s="4" t="s">
        <v>455</v>
      </c>
      <c r="Q74" s="7" t="s">
        <v>456</v>
      </c>
      <c r="R74" s="6" t="str">
        <f t="shared" si="5"/>
        <v>-2.669%</v>
      </c>
      <c r="T74" s="4" t="s">
        <v>40</v>
      </c>
      <c r="U74" s="11">
        <v>25630.54</v>
      </c>
      <c r="V74" s="11">
        <v>25945.87</v>
      </c>
      <c r="W74" s="11">
        <v>26264.13</v>
      </c>
      <c r="X74" s="11">
        <v>25086.54</v>
      </c>
      <c r="Y74" s="4" t="s">
        <v>457</v>
      </c>
      <c r="Z74" s="7" t="s">
        <v>458</v>
      </c>
      <c r="AA74" s="6" t="str">
        <f t="shared" si="6"/>
        <v>0.891%</v>
      </c>
    </row>
    <row r="75" ht="15.75" customHeight="1">
      <c r="B75" s="4" t="s">
        <v>47</v>
      </c>
      <c r="C75" s="4">
        <v>576.43</v>
      </c>
      <c r="D75" s="4">
        <v>571.95</v>
      </c>
      <c r="E75" s="4">
        <v>586.33</v>
      </c>
      <c r="F75" s="4">
        <v>556.96</v>
      </c>
      <c r="G75" s="4"/>
      <c r="H75" s="7" t="s">
        <v>459</v>
      </c>
      <c r="I75" s="6" t="str">
        <f t="shared" si="4"/>
        <v>-0.788%</v>
      </c>
      <c r="K75" s="4" t="s">
        <v>47</v>
      </c>
      <c r="L75" s="11">
        <v>23836.79</v>
      </c>
      <c r="M75" s="11">
        <v>23990.34</v>
      </c>
      <c r="N75" s="11">
        <v>24441.28</v>
      </c>
      <c r="O75" s="11">
        <v>22943.06</v>
      </c>
      <c r="P75" s="4" t="s">
        <v>460</v>
      </c>
      <c r="Q75" s="7" t="s">
        <v>461</v>
      </c>
      <c r="R75" s="6" t="str">
        <f t="shared" si="5"/>
        <v>0.510%</v>
      </c>
      <c r="T75" s="4" t="s">
        <v>47</v>
      </c>
      <c r="U75" s="11">
        <v>25858.89</v>
      </c>
      <c r="V75" s="11">
        <v>25999.17</v>
      </c>
      <c r="W75" s="11">
        <v>27188.81</v>
      </c>
      <c r="X75" s="11">
        <v>25178.63</v>
      </c>
      <c r="Y75" s="4" t="s">
        <v>462</v>
      </c>
      <c r="Z75" s="7" t="s">
        <v>463</v>
      </c>
      <c r="AA75" s="6" t="str">
        <f t="shared" si="6"/>
        <v>0.185%</v>
      </c>
    </row>
    <row r="76" ht="15.75" customHeight="1">
      <c r="B76" s="4" t="s">
        <v>54</v>
      </c>
      <c r="C76" s="4">
        <v>571.89</v>
      </c>
      <c r="D76" s="4">
        <v>557.65</v>
      </c>
      <c r="E76" s="4">
        <v>577.68</v>
      </c>
      <c r="F76" s="4">
        <v>557.65</v>
      </c>
      <c r="G76" s="4"/>
      <c r="H76" s="7" t="s">
        <v>464</v>
      </c>
      <c r="I76" s="6" t="str">
        <f t="shared" si="4"/>
        <v>-2.397%</v>
      </c>
      <c r="K76" s="4" t="s">
        <v>54</v>
      </c>
      <c r="L76" s="11">
        <v>23958.3</v>
      </c>
      <c r="M76" s="11">
        <v>23755.23</v>
      </c>
      <c r="N76" s="11">
        <v>24771.34</v>
      </c>
      <c r="O76" s="11">
        <v>23684.37</v>
      </c>
      <c r="P76" s="4" t="s">
        <v>465</v>
      </c>
      <c r="Q76" s="7" t="s">
        <v>466</v>
      </c>
      <c r="R76" s="6" t="str">
        <f t="shared" si="5"/>
        <v>-0.324%</v>
      </c>
      <c r="T76" s="4" t="s">
        <v>54</v>
      </c>
      <c r="U76" s="11">
        <v>25906.65</v>
      </c>
      <c r="V76" s="11">
        <v>26918.3</v>
      </c>
      <c r="W76" s="11">
        <v>27381.84</v>
      </c>
      <c r="X76" s="11">
        <v>25145.34</v>
      </c>
      <c r="Y76" s="4" t="s">
        <v>467</v>
      </c>
      <c r="Z76" s="7" t="s">
        <v>468</v>
      </c>
      <c r="AA76" s="6" t="str">
        <f t="shared" si="6"/>
        <v>3.663%</v>
      </c>
    </row>
    <row r="77" ht="15.75" customHeight="1">
      <c r="B77" s="4" t="s">
        <v>61</v>
      </c>
      <c r="C77" s="4">
        <v>558.18</v>
      </c>
      <c r="D77" s="4">
        <v>550.46</v>
      </c>
      <c r="E77" s="4">
        <v>558.66</v>
      </c>
      <c r="F77" s="4">
        <v>543.17</v>
      </c>
      <c r="G77" s="4"/>
      <c r="H77" s="7" t="s">
        <v>469</v>
      </c>
      <c r="I77" s="6" t="str">
        <f t="shared" si="4"/>
        <v>-1.440%</v>
      </c>
      <c r="K77" s="4" t="s">
        <v>61</v>
      </c>
      <c r="L77" s="11">
        <v>23880.72</v>
      </c>
      <c r="M77" s="11">
        <v>24012.04</v>
      </c>
      <c r="N77" s="11">
        <v>24046.85</v>
      </c>
      <c r="O77" s="11">
        <v>23284.67</v>
      </c>
      <c r="P77" s="4" t="s">
        <v>470</v>
      </c>
      <c r="Q77" s="7" t="s">
        <v>471</v>
      </c>
      <c r="R77" s="6" t="str">
        <f t="shared" si="5"/>
        <v>0.090%</v>
      </c>
      <c r="T77" s="4" t="s">
        <v>61</v>
      </c>
      <c r="U77" s="11">
        <v>26855.56</v>
      </c>
      <c r="V77" s="11">
        <v>25508.21</v>
      </c>
      <c r="W77" s="11">
        <v>27058.03</v>
      </c>
      <c r="X77" s="11">
        <v>25013.26</v>
      </c>
      <c r="Y77" s="4" t="s">
        <v>472</v>
      </c>
      <c r="Z77" s="7" t="s">
        <v>473</v>
      </c>
      <c r="AA77" s="6" t="str">
        <f t="shared" si="6"/>
        <v>-6.620%</v>
      </c>
    </row>
    <row r="78" ht="15.75" customHeight="1">
      <c r="B78" s="4" t="s">
        <v>68</v>
      </c>
      <c r="C78" s="4">
        <v>550.14</v>
      </c>
      <c r="D78" s="4">
        <v>544.13</v>
      </c>
      <c r="E78" s="4">
        <v>563.28</v>
      </c>
      <c r="F78" s="4">
        <v>534.23</v>
      </c>
      <c r="G78" s="4"/>
      <c r="H78" s="7" t="s">
        <v>474</v>
      </c>
      <c r="I78" s="6" t="str">
        <f t="shared" si="4"/>
        <v>-0.733%</v>
      </c>
      <c r="K78" s="4" t="s">
        <v>68</v>
      </c>
      <c r="L78" s="11">
        <v>23902.21</v>
      </c>
      <c r="M78" s="11">
        <v>23786.91</v>
      </c>
      <c r="N78" s="11">
        <v>24536.11</v>
      </c>
      <c r="O78" s="11">
        <v>23380.94</v>
      </c>
      <c r="P78" s="4" t="s">
        <v>475</v>
      </c>
      <c r="Q78" s="7" t="s">
        <v>476</v>
      </c>
      <c r="R78" s="6" t="str">
        <f t="shared" si="5"/>
        <v>0.683%</v>
      </c>
      <c r="T78" s="4" t="s">
        <v>68</v>
      </c>
      <c r="U78" s="11">
        <v>25077.62</v>
      </c>
      <c r="V78" s="11">
        <v>24744.34</v>
      </c>
      <c r="W78" s="11">
        <v>25918.86</v>
      </c>
      <c r="X78" s="11">
        <v>24372.51</v>
      </c>
      <c r="Y78" s="4" t="s">
        <v>477</v>
      </c>
      <c r="Z78" s="7" t="s">
        <v>478</v>
      </c>
      <c r="AA78" s="6" t="str">
        <f t="shared" si="6"/>
        <v>-1.213%</v>
      </c>
    </row>
    <row r="79" ht="15.75" customHeight="1">
      <c r="B79" s="4" t="s">
        <v>75</v>
      </c>
      <c r="C79" s="4">
        <v>546.11</v>
      </c>
      <c r="D79" s="4">
        <v>541.84</v>
      </c>
      <c r="E79" s="4">
        <v>555.04</v>
      </c>
      <c r="F79" s="4">
        <v>537.44</v>
      </c>
      <c r="G79" s="4"/>
      <c r="H79" s="7" t="s">
        <v>479</v>
      </c>
      <c r="I79" s="6" t="str">
        <f t="shared" si="4"/>
        <v>-0.868%</v>
      </c>
      <c r="K79" s="4" t="s">
        <v>75</v>
      </c>
      <c r="L79" s="11">
        <v>24065.47</v>
      </c>
      <c r="M79" s="11">
        <v>23966.95</v>
      </c>
      <c r="N79" s="11">
        <v>24639.1</v>
      </c>
      <c r="O79" s="11">
        <v>23620.42</v>
      </c>
      <c r="P79" s="4" t="s">
        <v>470</v>
      </c>
      <c r="Q79" s="7" t="s">
        <v>480</v>
      </c>
      <c r="R79" s="6" t="str">
        <f t="shared" si="5"/>
        <v>-0.648%</v>
      </c>
      <c r="T79" s="4" t="s">
        <v>75</v>
      </c>
      <c r="U79" s="11">
        <v>24773.33</v>
      </c>
      <c r="V79" s="11">
        <v>24304.31</v>
      </c>
      <c r="W79" s="11">
        <v>25735.89</v>
      </c>
      <c r="X79" s="11">
        <v>23690.94</v>
      </c>
      <c r="Y79" s="4" t="s">
        <v>481</v>
      </c>
      <c r="Z79" s="7" t="s">
        <v>482</v>
      </c>
      <c r="AA79" s="6" t="str">
        <f t="shared" si="6"/>
        <v>-2.830%</v>
      </c>
    </row>
    <row r="80" ht="15.75" customHeight="1">
      <c r="B80" s="4" t="s">
        <v>82</v>
      </c>
      <c r="C80" s="4">
        <v>541.37</v>
      </c>
      <c r="D80" s="4">
        <v>547.35</v>
      </c>
      <c r="E80" s="4">
        <v>554.22</v>
      </c>
      <c r="F80" s="4">
        <v>532.34</v>
      </c>
      <c r="G80" s="4"/>
      <c r="H80" s="7" t="s">
        <v>483</v>
      </c>
      <c r="I80" s="6" t="str">
        <f t="shared" si="4"/>
        <v>1.348%</v>
      </c>
      <c r="K80" s="4" t="s">
        <v>82</v>
      </c>
      <c r="L80" s="11">
        <v>23909.61</v>
      </c>
      <c r="M80" s="11">
        <v>23865.38</v>
      </c>
      <c r="N80" s="11">
        <v>24479.42</v>
      </c>
      <c r="O80" s="11">
        <v>23051.55</v>
      </c>
      <c r="P80" s="4" t="s">
        <v>484</v>
      </c>
      <c r="Q80" s="7" t="s">
        <v>485</v>
      </c>
      <c r="R80" s="6" t="str">
        <f t="shared" si="5"/>
        <v>0.368%</v>
      </c>
      <c r="T80" s="4" t="s">
        <v>82</v>
      </c>
      <c r="U80" s="11">
        <v>24072.28</v>
      </c>
      <c r="V80" s="11">
        <v>23043.1</v>
      </c>
      <c r="W80" s="11">
        <v>24533.39</v>
      </c>
      <c r="X80" s="11">
        <v>22668.35</v>
      </c>
      <c r="Y80" s="4" t="s">
        <v>486</v>
      </c>
      <c r="Z80" s="7" t="s">
        <v>487</v>
      </c>
      <c r="AA80" s="6" t="str">
        <f t="shared" si="6"/>
        <v>-3.251%</v>
      </c>
    </row>
    <row r="81" ht="15.75" customHeight="1">
      <c r="B81" s="4" t="s">
        <v>89</v>
      </c>
      <c r="C81" s="4">
        <v>548.67</v>
      </c>
      <c r="D81" s="4">
        <v>530.51</v>
      </c>
      <c r="E81" s="4">
        <v>554.88</v>
      </c>
      <c r="F81" s="4">
        <v>530.51</v>
      </c>
      <c r="G81" s="4"/>
      <c r="H81" s="7" t="s">
        <v>488</v>
      </c>
      <c r="I81" s="6" t="str">
        <f t="shared" si="4"/>
        <v>-3.862%</v>
      </c>
      <c r="K81" s="4" t="s">
        <v>89</v>
      </c>
      <c r="L81" s="11">
        <v>23997.48</v>
      </c>
      <c r="M81" s="11">
        <v>22818.18</v>
      </c>
      <c r="N81" s="11">
        <v>24325.97</v>
      </c>
      <c r="O81" s="11">
        <v>22764.51</v>
      </c>
      <c r="P81" s="4" t="s">
        <v>489</v>
      </c>
      <c r="Q81" s="7" t="s">
        <v>490</v>
      </c>
      <c r="R81" s="6" t="str">
        <f t="shared" si="5"/>
        <v>-6.253%</v>
      </c>
      <c r="T81" s="4" t="s">
        <v>89</v>
      </c>
      <c r="U81" s="11">
        <v>23289.77</v>
      </c>
      <c r="V81" s="11">
        <v>22192.51</v>
      </c>
      <c r="W81" s="11">
        <v>23917.0</v>
      </c>
      <c r="X81" s="11">
        <v>22058.3</v>
      </c>
      <c r="Y81" s="4" t="s">
        <v>491</v>
      </c>
      <c r="Z81" s="7" t="s">
        <v>492</v>
      </c>
      <c r="AA81" s="6" t="str">
        <f t="shared" si="6"/>
        <v>-5.025%</v>
      </c>
    </row>
    <row r="82" ht="15.75" customHeight="1">
      <c r="B82" s="4" t="s">
        <v>96</v>
      </c>
      <c r="C82" s="4">
        <v>527.48</v>
      </c>
      <c r="D82" s="4">
        <v>536.18</v>
      </c>
      <c r="E82" s="4">
        <v>540.83</v>
      </c>
      <c r="F82" s="4">
        <v>464.26</v>
      </c>
      <c r="G82" s="4"/>
      <c r="H82" s="7" t="s">
        <v>493</v>
      </c>
      <c r="I82" s="6" t="str">
        <f t="shared" si="4"/>
        <v>1.221%</v>
      </c>
      <c r="K82" s="4" t="s">
        <v>96</v>
      </c>
      <c r="L82" s="11">
        <v>22496.98</v>
      </c>
      <c r="M82" s="11">
        <v>22343.41</v>
      </c>
      <c r="N82" s="11">
        <v>22607.32</v>
      </c>
      <c r="O82" s="11">
        <v>18489.91</v>
      </c>
      <c r="P82" s="4" t="s">
        <v>494</v>
      </c>
      <c r="Q82" s="7" t="s">
        <v>495</v>
      </c>
      <c r="R82" s="6" t="str">
        <f t="shared" si="5"/>
        <v>-1.482%</v>
      </c>
      <c r="T82" s="4" t="s">
        <v>96</v>
      </c>
      <c r="U82" s="11">
        <v>22119.41</v>
      </c>
      <c r="V82" s="11">
        <v>23217.11</v>
      </c>
      <c r="W82" s="11">
        <v>23456.58</v>
      </c>
      <c r="X82" s="11">
        <v>19260.21</v>
      </c>
      <c r="Y82" s="4" t="s">
        <v>496</v>
      </c>
      <c r="Z82" s="7" t="s">
        <v>497</v>
      </c>
      <c r="AA82" s="6" t="str">
        <f t="shared" si="6"/>
        <v>4.522%</v>
      </c>
    </row>
    <row r="83" ht="15.75" customHeight="1">
      <c r="B83" s="4" t="s">
        <v>103</v>
      </c>
      <c r="C83" s="4">
        <v>533.92</v>
      </c>
      <c r="D83" s="4">
        <v>557.7</v>
      </c>
      <c r="E83" s="4">
        <v>565.18</v>
      </c>
      <c r="F83" s="4">
        <v>531.85</v>
      </c>
      <c r="G83" s="4"/>
      <c r="H83" s="7" t="s">
        <v>498</v>
      </c>
      <c r="I83" s="6" t="str">
        <f t="shared" si="4"/>
        <v>4.358%</v>
      </c>
      <c r="K83" s="4" t="s">
        <v>103</v>
      </c>
      <c r="L83" s="11">
        <v>22163.49</v>
      </c>
      <c r="M83" s="11">
        <v>22682.95</v>
      </c>
      <c r="N83" s="11">
        <v>23476.01</v>
      </c>
      <c r="O83" s="11">
        <v>21978.46</v>
      </c>
      <c r="P83" s="4" t="s">
        <v>499</v>
      </c>
      <c r="Q83" s="7" t="s">
        <v>163</v>
      </c>
      <c r="R83" s="6" t="str">
        <f t="shared" si="5"/>
        <v>1.750%</v>
      </c>
      <c r="T83" s="4" t="s">
        <v>103</v>
      </c>
      <c r="U83" s="11">
        <v>23119.58</v>
      </c>
      <c r="V83" s="11">
        <v>23135.12</v>
      </c>
      <c r="W83" s="11">
        <v>24874.39</v>
      </c>
      <c r="X83" s="11">
        <v>22547.53</v>
      </c>
      <c r="Y83" s="4" t="s">
        <v>500</v>
      </c>
      <c r="Z83" s="7" t="s">
        <v>501</v>
      </c>
      <c r="AA83" s="6" t="str">
        <f t="shared" si="6"/>
        <v>-0.771%</v>
      </c>
    </row>
    <row r="84" ht="15.75" customHeight="1">
      <c r="B84" s="4" t="s">
        <v>110</v>
      </c>
      <c r="C84" s="4">
        <v>557.19</v>
      </c>
      <c r="D84" s="4">
        <v>535.78</v>
      </c>
      <c r="E84" s="4">
        <v>560.56</v>
      </c>
      <c r="F84" s="4">
        <v>530.69</v>
      </c>
      <c r="G84" s="4"/>
      <c r="H84" s="7" t="s">
        <v>502</v>
      </c>
      <c r="I84" s="6" t="str">
        <f t="shared" si="4"/>
        <v>-3.169%</v>
      </c>
      <c r="K84" s="4" t="s">
        <v>110</v>
      </c>
      <c r="L84" s="11">
        <v>22551.43</v>
      </c>
      <c r="M84" s="11">
        <v>21301.53</v>
      </c>
      <c r="N84" s="11">
        <v>22935.06</v>
      </c>
      <c r="O84" s="11">
        <v>21252.71</v>
      </c>
      <c r="P84" s="4" t="s">
        <v>503</v>
      </c>
      <c r="Q84" s="7" t="s">
        <v>504</v>
      </c>
      <c r="R84" s="6" t="str">
        <f t="shared" si="5"/>
        <v>-3.633%</v>
      </c>
      <c r="T84" s="4" t="s">
        <v>110</v>
      </c>
      <c r="U84" s="11">
        <v>22941.32</v>
      </c>
      <c r="V84" s="11">
        <v>20048.87</v>
      </c>
      <c r="W84" s="11">
        <v>24076.53</v>
      </c>
      <c r="X84" s="11">
        <v>19764.67</v>
      </c>
      <c r="Y84" s="4" t="s">
        <v>505</v>
      </c>
      <c r="Z84" s="7" t="s">
        <v>506</v>
      </c>
      <c r="AA84" s="6" t="str">
        <f t="shared" si="6"/>
        <v>-11.840%</v>
      </c>
    </row>
    <row r="85" ht="15.75" customHeight="1">
      <c r="B85" s="4" t="s">
        <v>117</v>
      </c>
      <c r="C85" s="4">
        <v>539.53</v>
      </c>
      <c r="D85" s="4">
        <v>507.61</v>
      </c>
      <c r="E85" s="4">
        <v>542.09</v>
      </c>
      <c r="F85" s="4">
        <v>505.88</v>
      </c>
      <c r="G85" s="4"/>
      <c r="H85" s="7" t="s">
        <v>507</v>
      </c>
      <c r="I85" s="6" t="str">
        <f t="shared" si="4"/>
        <v>-6.428%</v>
      </c>
      <c r="K85" s="4" t="s">
        <v>117</v>
      </c>
      <c r="L85" s="11">
        <v>21732.05</v>
      </c>
      <c r="M85" s="11">
        <v>19923.07</v>
      </c>
      <c r="N85" s="11">
        <v>21800.52</v>
      </c>
      <c r="O85" s="11">
        <v>19833.82</v>
      </c>
      <c r="P85" s="4" t="s">
        <v>508</v>
      </c>
      <c r="Q85" s="7" t="s">
        <v>187</v>
      </c>
      <c r="R85" s="6" t="str">
        <f t="shared" si="5"/>
        <v>-8.388%</v>
      </c>
      <c r="T85" s="4" t="s">
        <v>117</v>
      </c>
      <c r="U85" s="11">
        <v>20225.11</v>
      </c>
      <c r="V85" s="11">
        <v>19932.8</v>
      </c>
      <c r="W85" s="11">
        <v>20337.46</v>
      </c>
      <c r="X85" s="11">
        <v>18671.49</v>
      </c>
      <c r="Y85" s="4" t="s">
        <v>509</v>
      </c>
      <c r="Z85" s="7" t="s">
        <v>510</v>
      </c>
      <c r="AA85" s="6" t="str">
        <f t="shared" si="6"/>
        <v>-0.817%</v>
      </c>
    </row>
    <row r="86" ht="15.75" customHeight="1">
      <c r="B86" s="4" t="s">
        <v>124</v>
      </c>
      <c r="C86" s="4">
        <v>504.85</v>
      </c>
      <c r="D86" s="4">
        <v>509.69</v>
      </c>
      <c r="E86" s="4">
        <v>523.15</v>
      </c>
      <c r="F86" s="4">
        <v>496.39</v>
      </c>
      <c r="G86" s="4"/>
      <c r="H86" s="7" t="s">
        <v>511</v>
      </c>
      <c r="I86" s="6" t="str">
        <f t="shared" si="4"/>
        <v>1.070%</v>
      </c>
      <c r="K86" s="4" t="s">
        <v>124</v>
      </c>
      <c r="L86" s="11">
        <v>19909.14</v>
      </c>
      <c r="M86" s="11">
        <v>19586.17</v>
      </c>
      <c r="N86" s="11">
        <v>20522.82</v>
      </c>
      <c r="O86" s="11">
        <v>19568.5</v>
      </c>
      <c r="P86" s="4" t="s">
        <v>465</v>
      </c>
      <c r="Q86" s="7" t="s">
        <v>369</v>
      </c>
      <c r="R86" s="6" t="str">
        <f t="shared" si="5"/>
        <v>-1.420%</v>
      </c>
      <c r="T86" s="4" t="s">
        <v>124</v>
      </c>
      <c r="U86" s="11">
        <v>20059.95</v>
      </c>
      <c r="V86" s="11">
        <v>19442.31</v>
      </c>
      <c r="W86" s="11">
        <v>21070.05</v>
      </c>
      <c r="X86" s="11">
        <v>19386.82</v>
      </c>
      <c r="Y86" s="4" t="s">
        <v>512</v>
      </c>
      <c r="Z86" s="7" t="s">
        <v>513</v>
      </c>
      <c r="AA86" s="6" t="str">
        <f t="shared" si="6"/>
        <v>-3.172%</v>
      </c>
    </row>
    <row r="87" ht="15.75" customHeight="1">
      <c r="B87" s="4" t="s">
        <v>130</v>
      </c>
      <c r="C87" s="4">
        <v>510.25</v>
      </c>
      <c r="D87" s="4">
        <v>505.44</v>
      </c>
      <c r="E87" s="4">
        <v>519.26</v>
      </c>
      <c r="F87" s="4">
        <v>495.55</v>
      </c>
      <c r="G87" s="4"/>
      <c r="H87" s="7" t="s">
        <v>514</v>
      </c>
      <c r="I87" s="6" t="str">
        <f t="shared" si="4"/>
        <v>-0.952%</v>
      </c>
      <c r="K87" s="4" t="s">
        <v>130</v>
      </c>
      <c r="L87" s="11">
        <v>19626.45</v>
      </c>
      <c r="M87" s="11">
        <v>19093.99</v>
      </c>
      <c r="N87" s="11">
        <v>19640.15</v>
      </c>
      <c r="O87" s="11">
        <v>18812.53</v>
      </c>
      <c r="P87" s="4" t="s">
        <v>508</v>
      </c>
      <c r="Q87" s="7" t="s">
        <v>515</v>
      </c>
      <c r="R87" s="6" t="str">
        <f t="shared" si="5"/>
        <v>-2.797%</v>
      </c>
      <c r="T87" s="4" t="s">
        <v>130</v>
      </c>
      <c r="U87" s="11">
        <v>19423.61</v>
      </c>
      <c r="V87" s="11">
        <v>20427.88</v>
      </c>
      <c r="W87" s="11">
        <v>21355.44</v>
      </c>
      <c r="X87" s="11">
        <v>19054.4</v>
      </c>
      <c r="Y87" s="4" t="s">
        <v>516</v>
      </c>
      <c r="Z87" s="7" t="s">
        <v>517</v>
      </c>
      <c r="AA87" s="6" t="str">
        <f t="shared" si="6"/>
        <v>4.601%</v>
      </c>
    </row>
    <row r="88" ht="15.75" customHeight="1">
      <c r="B88" s="4" t="s">
        <v>137</v>
      </c>
      <c r="C88" s="4">
        <v>505.39</v>
      </c>
      <c r="D88" s="4">
        <v>523.28</v>
      </c>
      <c r="E88" s="4">
        <v>526.57</v>
      </c>
      <c r="F88" s="4">
        <v>503.49</v>
      </c>
      <c r="G88" s="4"/>
      <c r="H88" s="7" t="s">
        <v>221</v>
      </c>
      <c r="I88" s="6" t="str">
        <f t="shared" si="4"/>
        <v>3.463%</v>
      </c>
      <c r="K88" s="4" t="s">
        <v>137</v>
      </c>
      <c r="L88" s="11">
        <v>19077.54</v>
      </c>
      <c r="M88" s="11">
        <v>19409.39</v>
      </c>
      <c r="N88" s="11">
        <v>19674.68</v>
      </c>
      <c r="O88" s="11">
        <v>18911.72</v>
      </c>
      <c r="P88" s="4" t="s">
        <v>450</v>
      </c>
      <c r="Q88" s="7" t="s">
        <v>518</v>
      </c>
      <c r="R88" s="6" t="str">
        <f t="shared" si="5"/>
        <v>1.297%</v>
      </c>
      <c r="T88" s="4" t="s">
        <v>137</v>
      </c>
      <c r="U88" s="11">
        <v>20317.33</v>
      </c>
      <c r="V88" s="11">
        <v>21289.6</v>
      </c>
      <c r="W88" s="11">
        <v>23241.74</v>
      </c>
      <c r="X88" s="11">
        <v>19977.35</v>
      </c>
      <c r="Y88" s="4" t="s">
        <v>519</v>
      </c>
      <c r="Z88" s="7" t="s">
        <v>520</v>
      </c>
      <c r="AA88" s="6" t="str">
        <f t="shared" si="6"/>
        <v>4.018%</v>
      </c>
    </row>
    <row r="89" ht="15.75" customHeight="1">
      <c r="B89" s="4" t="s">
        <v>144</v>
      </c>
      <c r="C89" s="4">
        <v>522.89</v>
      </c>
      <c r="D89" s="4">
        <v>524.83</v>
      </c>
      <c r="E89" s="4">
        <v>528.68</v>
      </c>
      <c r="F89" s="4">
        <v>506.0</v>
      </c>
      <c r="G89" s="4"/>
      <c r="H89" s="7" t="s">
        <v>521</v>
      </c>
      <c r="I89" s="6" t="str">
        <f t="shared" si="4"/>
        <v>0.413%</v>
      </c>
      <c r="K89" s="4" t="s">
        <v>144</v>
      </c>
      <c r="L89" s="11">
        <v>19324.93</v>
      </c>
      <c r="M89" s="11">
        <v>18913.53</v>
      </c>
      <c r="N89" s="11">
        <v>19491.93</v>
      </c>
      <c r="O89" s="11">
        <v>18208.84</v>
      </c>
      <c r="P89" s="4" t="s">
        <v>522</v>
      </c>
      <c r="Q89" s="7" t="s">
        <v>523</v>
      </c>
      <c r="R89" s="6" t="str">
        <f t="shared" si="5"/>
        <v>-2.163%</v>
      </c>
      <c r="T89" s="4" t="s">
        <v>144</v>
      </c>
      <c r="U89" s="11">
        <v>21133.68</v>
      </c>
      <c r="V89" s="11">
        <v>17862.59</v>
      </c>
      <c r="W89" s="11">
        <v>21488.75</v>
      </c>
      <c r="X89" s="11">
        <v>16964.28</v>
      </c>
      <c r="Y89" s="4" t="s">
        <v>524</v>
      </c>
      <c r="Z89" s="7" t="s">
        <v>525</v>
      </c>
      <c r="AA89" s="6" t="str">
        <f t="shared" si="6"/>
        <v>-14.880%</v>
      </c>
    </row>
    <row r="90" ht="15.75" customHeight="1">
      <c r="B90" s="4" t="s">
        <v>151</v>
      </c>
      <c r="C90" s="4">
        <v>525.05</v>
      </c>
      <c r="D90" s="4">
        <v>517.75</v>
      </c>
      <c r="E90" s="4">
        <v>526.66</v>
      </c>
      <c r="F90" s="4">
        <v>479.83</v>
      </c>
      <c r="G90" s="4"/>
      <c r="H90" s="7" t="s">
        <v>526</v>
      </c>
      <c r="I90" s="6" t="str">
        <f t="shared" si="4"/>
        <v>-1.308%</v>
      </c>
      <c r="K90" s="4" t="s">
        <v>151</v>
      </c>
      <c r="L90" s="11">
        <v>18906.92</v>
      </c>
      <c r="M90" s="11">
        <v>18404.95</v>
      </c>
      <c r="N90" s="11">
        <v>18971.75</v>
      </c>
      <c r="O90" s="11">
        <v>17021.65</v>
      </c>
      <c r="P90" s="4" t="s">
        <v>527</v>
      </c>
      <c r="Q90" s="7" t="s">
        <v>436</v>
      </c>
      <c r="R90" s="6" t="str">
        <f t="shared" si="5"/>
        <v>-2.106%</v>
      </c>
      <c r="T90" s="4" t="s">
        <v>151</v>
      </c>
      <c r="U90" s="11">
        <v>17989.07</v>
      </c>
      <c r="V90" s="11">
        <v>17304.96</v>
      </c>
      <c r="W90" s="11">
        <v>18202.6</v>
      </c>
      <c r="X90" s="11">
        <v>16647.34</v>
      </c>
      <c r="Y90" s="4" t="s">
        <v>528</v>
      </c>
      <c r="Z90" s="7" t="s">
        <v>529</v>
      </c>
      <c r="AA90" s="6" t="str">
        <f t="shared" si="6"/>
        <v>-3.583%</v>
      </c>
    </row>
    <row r="91" ht="15.75" customHeight="1">
      <c r="B91" s="4" t="s">
        <v>158</v>
      </c>
      <c r="C91" s="4">
        <v>518.18</v>
      </c>
      <c r="D91" s="4">
        <v>513.82</v>
      </c>
      <c r="E91" s="4">
        <v>524.75</v>
      </c>
      <c r="F91" s="4">
        <v>503.78</v>
      </c>
      <c r="G91" s="4"/>
      <c r="H91" s="7" t="s">
        <v>438</v>
      </c>
      <c r="I91" s="6" t="str">
        <f t="shared" si="4"/>
        <v>-1.305%</v>
      </c>
      <c r="K91" s="4" t="s">
        <v>158</v>
      </c>
      <c r="L91" s="11">
        <v>18508.65</v>
      </c>
      <c r="M91" s="11">
        <v>18419.75</v>
      </c>
      <c r="N91" s="11">
        <v>18781.45</v>
      </c>
      <c r="O91" s="11">
        <v>18023.45</v>
      </c>
      <c r="P91" s="4" t="s">
        <v>530</v>
      </c>
      <c r="Q91" s="7" t="s">
        <v>495</v>
      </c>
      <c r="R91" s="6" t="str">
        <f t="shared" si="5"/>
        <v>-1.476%</v>
      </c>
      <c r="T91" s="4" t="s">
        <v>158</v>
      </c>
      <c r="U91" s="11">
        <v>17344.6</v>
      </c>
      <c r="V91" s="11">
        <v>17669.42</v>
      </c>
      <c r="W91" s="11">
        <v>18317.31</v>
      </c>
      <c r="X91" s="11">
        <v>16924.58</v>
      </c>
      <c r="Y91" s="4" t="s">
        <v>531</v>
      </c>
      <c r="Z91" s="7" t="s">
        <v>532</v>
      </c>
      <c r="AA91" s="6" t="str">
        <f t="shared" si="6"/>
        <v>2.156%</v>
      </c>
    </row>
    <row r="92" ht="15.75" customHeight="1">
      <c r="B92" s="4" t="s">
        <v>164</v>
      </c>
      <c r="C92" s="4">
        <v>511.42</v>
      </c>
      <c r="D92" s="4">
        <v>520.31</v>
      </c>
      <c r="E92" s="4">
        <v>525.59</v>
      </c>
      <c r="F92" s="4">
        <v>508.78</v>
      </c>
      <c r="G92" s="4"/>
      <c r="H92" s="7" t="s">
        <v>533</v>
      </c>
      <c r="I92" s="6" t="str">
        <f t="shared" si="4"/>
        <v>1.320%</v>
      </c>
      <c r="K92" s="4" t="s">
        <v>164</v>
      </c>
      <c r="L92" s="11">
        <v>18235.45</v>
      </c>
      <c r="M92" s="11">
        <v>18658.85</v>
      </c>
      <c r="N92" s="11">
        <v>18786.35</v>
      </c>
      <c r="O92" s="11">
        <v>17949.85</v>
      </c>
      <c r="P92" s="4" t="s">
        <v>534</v>
      </c>
      <c r="Q92" s="7" t="s">
        <v>535</v>
      </c>
      <c r="R92" s="6" t="str">
        <f t="shared" si="5"/>
        <v>1.439%</v>
      </c>
      <c r="T92" s="4" t="s">
        <v>164</v>
      </c>
      <c r="U92" s="11">
        <v>17718.61</v>
      </c>
      <c r="V92" s="11">
        <v>18283.56</v>
      </c>
      <c r="W92" s="11">
        <v>18724.62</v>
      </c>
      <c r="X92" s="11">
        <v>17583.19</v>
      </c>
      <c r="Y92" s="4" t="s">
        <v>536</v>
      </c>
      <c r="Z92" s="7" t="s">
        <v>537</v>
      </c>
      <c r="AA92" s="6" t="str">
        <f t="shared" si="6"/>
        <v>2.037%</v>
      </c>
    </row>
    <row r="93" ht="15.75" customHeight="1">
      <c r="B93" s="4" t="s">
        <v>171</v>
      </c>
      <c r="C93" s="4">
        <v>518.17</v>
      </c>
      <c r="D93" s="4">
        <v>504.14</v>
      </c>
      <c r="E93" s="4">
        <v>525.33</v>
      </c>
      <c r="F93" s="4">
        <v>502.78</v>
      </c>
      <c r="G93" s="4"/>
      <c r="H93" s="7" t="s">
        <v>538</v>
      </c>
      <c r="I93" s="6" t="str">
        <f t="shared" si="4"/>
        <v>-2.563%</v>
      </c>
      <c r="K93" s="4" t="s">
        <v>171</v>
      </c>
      <c r="L93" s="11">
        <v>18497.94</v>
      </c>
      <c r="M93" s="11">
        <v>17919.75</v>
      </c>
      <c r="N93" s="11">
        <v>18890.05</v>
      </c>
      <c r="O93" s="11">
        <v>17874.85</v>
      </c>
      <c r="P93" s="4" t="s">
        <v>539</v>
      </c>
      <c r="Q93" s="7" t="s">
        <v>540</v>
      </c>
      <c r="R93" s="6" t="str">
        <f t="shared" si="5"/>
        <v>-3.059%</v>
      </c>
      <c r="T93" s="4" t="s">
        <v>171</v>
      </c>
      <c r="U93" s="11">
        <v>18079.61</v>
      </c>
      <c r="V93" s="11">
        <v>17760.68</v>
      </c>
      <c r="W93" s="11">
        <v>19706.12</v>
      </c>
      <c r="X93" s="11">
        <v>17740.62</v>
      </c>
      <c r="Y93" s="4" t="s">
        <v>541</v>
      </c>
      <c r="Z93" s="7" t="s">
        <v>542</v>
      </c>
      <c r="AA93" s="6" t="str">
        <f t="shared" si="6"/>
        <v>-1.751%</v>
      </c>
    </row>
    <row r="94" ht="15.75" customHeight="1">
      <c r="B94" s="4" t="s">
        <v>178</v>
      </c>
      <c r="C94" s="4">
        <v>504.89</v>
      </c>
      <c r="D94" s="4">
        <v>513.36</v>
      </c>
      <c r="E94" s="4">
        <v>515.77</v>
      </c>
      <c r="F94" s="4">
        <v>495.31</v>
      </c>
      <c r="G94" s="4"/>
      <c r="H94" s="7" t="s">
        <v>543</v>
      </c>
      <c r="I94" s="6" t="str">
        <f t="shared" si="4"/>
        <v>1.541%</v>
      </c>
      <c r="K94" s="4" t="s">
        <v>178</v>
      </c>
      <c r="L94" s="11">
        <v>17932.17</v>
      </c>
      <c r="M94" s="11">
        <v>18119.93</v>
      </c>
      <c r="N94" s="11">
        <v>18153.69</v>
      </c>
      <c r="O94" s="11">
        <v>17920.72</v>
      </c>
      <c r="P94" s="4" t="s">
        <v>544</v>
      </c>
      <c r="Q94" s="7" t="s">
        <v>545</v>
      </c>
      <c r="R94" s="6" t="str">
        <f t="shared" si="5"/>
        <v>3.125%</v>
      </c>
      <c r="T94" s="4" t="s">
        <v>178</v>
      </c>
      <c r="U94" s="11">
        <v>17763.03</v>
      </c>
      <c r="V94" s="11">
        <v>16811.74</v>
      </c>
      <c r="W94" s="11">
        <v>18031.16</v>
      </c>
      <c r="X94" s="11">
        <v>16044.45</v>
      </c>
      <c r="Y94" s="4" t="s">
        <v>546</v>
      </c>
      <c r="Z94" s="7" t="s">
        <v>547</v>
      </c>
      <c r="AA94" s="6" t="str">
        <f t="shared" si="6"/>
        <v>-6.877%</v>
      </c>
    </row>
    <row r="95" ht="15.75" customHeight="1">
      <c r="B95" s="4" t="s">
        <v>185</v>
      </c>
      <c r="C95" s="4">
        <v>512.67</v>
      </c>
      <c r="D95" s="4">
        <v>495.08</v>
      </c>
      <c r="E95" s="4">
        <v>513.49</v>
      </c>
      <c r="F95" s="4">
        <v>495.08</v>
      </c>
      <c r="G95" s="4"/>
      <c r="H95" s="7" t="s">
        <v>548</v>
      </c>
      <c r="I95" s="6" t="str">
        <f t="shared" si="4"/>
        <v>-3.523%</v>
      </c>
      <c r="K95" s="4" t="s">
        <v>185</v>
      </c>
      <c r="L95" s="11">
        <v>18492.49</v>
      </c>
      <c r="M95" s="11">
        <v>17795.15</v>
      </c>
      <c r="N95" s="11">
        <v>18514.65</v>
      </c>
      <c r="O95" s="11">
        <v>17619.45</v>
      </c>
      <c r="P95" s="4" t="s">
        <v>549</v>
      </c>
      <c r="Q95" s="7" t="s">
        <v>550</v>
      </c>
      <c r="R95" s="6" t="str">
        <f t="shared" si="5"/>
        <v>-4.403%</v>
      </c>
      <c r="T95" s="4" t="s">
        <v>185</v>
      </c>
      <c r="U95" s="11">
        <v>16541.42</v>
      </c>
      <c r="V95" s="11">
        <v>16390.89</v>
      </c>
      <c r="W95" s="11">
        <v>17214.67</v>
      </c>
      <c r="X95" s="11">
        <v>16095.68</v>
      </c>
      <c r="Y95" s="4" t="s">
        <v>551</v>
      </c>
      <c r="Z95" s="7" t="s">
        <v>202</v>
      </c>
      <c r="AA95" s="6" t="str">
        <f t="shared" si="6"/>
        <v>-0.181%</v>
      </c>
    </row>
    <row r="96" ht="15.75" customHeight="1">
      <c r="B96" s="4" t="s">
        <v>192</v>
      </c>
      <c r="C96" s="4">
        <v>494.61</v>
      </c>
      <c r="D96" s="4">
        <v>485.41</v>
      </c>
      <c r="E96" s="4">
        <v>497.74</v>
      </c>
      <c r="F96" s="4">
        <v>481.29</v>
      </c>
      <c r="G96" s="4"/>
      <c r="H96" s="7" t="s">
        <v>552</v>
      </c>
      <c r="I96" s="6" t="str">
        <f t="shared" si="4"/>
        <v>-1.807%</v>
      </c>
      <c r="K96" s="4" t="s">
        <v>192</v>
      </c>
      <c r="L96" s="11">
        <v>17678.19</v>
      </c>
      <c r="M96" s="11">
        <v>16834.13</v>
      </c>
      <c r="N96" s="11">
        <v>17742.48</v>
      </c>
      <c r="O96" s="11">
        <v>16821.6</v>
      </c>
      <c r="P96" s="4" t="s">
        <v>553</v>
      </c>
      <c r="Q96" s="7" t="s">
        <v>401</v>
      </c>
      <c r="R96" s="6" t="str">
        <f t="shared" si="5"/>
        <v>-4.381%</v>
      </c>
      <c r="T96" s="4" t="s">
        <v>192</v>
      </c>
      <c r="U96" s="11">
        <v>16511.44</v>
      </c>
      <c r="V96" s="11">
        <v>15522.86</v>
      </c>
      <c r="W96" s="11">
        <v>16895.82</v>
      </c>
      <c r="X96" s="11">
        <v>15336.86</v>
      </c>
      <c r="Y96" s="4" t="s">
        <v>554</v>
      </c>
      <c r="Z96" s="7" t="s">
        <v>555</v>
      </c>
      <c r="AA96" s="6" t="str">
        <f t="shared" si="6"/>
        <v>-6.216%</v>
      </c>
    </row>
    <row r="97" ht="15.75" customHeight="1">
      <c r="B97" s="4" t="s">
        <v>198</v>
      </c>
      <c r="C97" s="4">
        <v>485.67</v>
      </c>
      <c r="D97" s="4">
        <v>479.69</v>
      </c>
      <c r="E97" s="4">
        <v>487.45</v>
      </c>
      <c r="F97" s="4">
        <v>464.99</v>
      </c>
      <c r="G97" s="4"/>
      <c r="H97" s="7" t="s">
        <v>556</v>
      </c>
      <c r="I97" s="6" t="str">
        <f t="shared" si="4"/>
        <v>-1.369%</v>
      </c>
      <c r="K97" s="4" t="s">
        <v>198</v>
      </c>
      <c r="L97" s="11">
        <v>16903.76</v>
      </c>
      <c r="M97" s="11">
        <v>16828.75</v>
      </c>
      <c r="N97" s="11">
        <v>16999.58</v>
      </c>
      <c r="O97" s="11">
        <v>16345.02</v>
      </c>
      <c r="P97" s="4" t="s">
        <v>553</v>
      </c>
      <c r="Q97" s="7" t="s">
        <v>557</v>
      </c>
      <c r="R97" s="6" t="str">
        <f t="shared" si="5"/>
        <v>-0.900%</v>
      </c>
      <c r="T97" s="4" t="s">
        <v>198</v>
      </c>
      <c r="U97" s="11">
        <v>15485.07</v>
      </c>
      <c r="V97" s="11">
        <v>17135.12</v>
      </c>
      <c r="W97" s="11">
        <v>17135.12</v>
      </c>
      <c r="X97" s="11">
        <v>14794.16</v>
      </c>
      <c r="Y97" s="4" t="s">
        <v>558</v>
      </c>
      <c r="Z97" s="7" t="s">
        <v>559</v>
      </c>
      <c r="AA97" s="6" t="str">
        <f t="shared" si="6"/>
        <v>10.089%</v>
      </c>
    </row>
    <row r="98" ht="15.75" customHeight="1">
      <c r="B98" s="4" t="s">
        <v>205</v>
      </c>
      <c r="C98" s="4">
        <v>479.02</v>
      </c>
      <c r="D98" s="4">
        <v>461.9</v>
      </c>
      <c r="E98" s="4">
        <v>480.64</v>
      </c>
      <c r="F98" s="4">
        <v>461.9</v>
      </c>
      <c r="G98" s="4"/>
      <c r="H98" s="7" t="s">
        <v>504</v>
      </c>
      <c r="I98" s="6" t="str">
        <f t="shared" si="4"/>
        <v>-3.635%</v>
      </c>
      <c r="K98" s="4" t="s">
        <v>205</v>
      </c>
      <c r="L98" s="11">
        <v>16751.64</v>
      </c>
      <c r="M98" s="11">
        <v>16296.92</v>
      </c>
      <c r="N98" s="11">
        <v>17003.28</v>
      </c>
      <c r="O98" s="11">
        <v>16279.45</v>
      </c>
      <c r="P98" s="4" t="s">
        <v>560</v>
      </c>
      <c r="Q98" s="7" t="s">
        <v>561</v>
      </c>
      <c r="R98" s="6" t="str">
        <f t="shared" si="5"/>
        <v>-3.201%</v>
      </c>
      <c r="T98" s="4" t="s">
        <v>205</v>
      </c>
      <c r="U98" s="11">
        <v>17047.39</v>
      </c>
      <c r="V98" s="11">
        <v>17019.17</v>
      </c>
      <c r="W98" s="11">
        <v>17095.12</v>
      </c>
      <c r="X98" s="11">
        <v>15972.31</v>
      </c>
      <c r="Y98" s="4" t="s">
        <v>562</v>
      </c>
      <c r="Z98" s="7" t="s">
        <v>563</v>
      </c>
      <c r="AA98" s="6" t="str">
        <f t="shared" si="6"/>
        <v>-0.026%</v>
      </c>
    </row>
    <row r="99" ht="15.75" customHeight="1">
      <c r="B99" s="4" t="s">
        <v>212</v>
      </c>
      <c r="C99" s="4">
        <v>461.61</v>
      </c>
      <c r="D99" s="4">
        <v>434.71</v>
      </c>
      <c r="E99" s="4">
        <v>462.06</v>
      </c>
      <c r="F99" s="4">
        <v>433.33</v>
      </c>
      <c r="G99" s="4"/>
      <c r="H99" s="7" t="s">
        <v>564</v>
      </c>
      <c r="I99" s="6" t="str">
        <f t="shared" si="4"/>
        <v>-6.055%</v>
      </c>
      <c r="K99" s="4" t="s">
        <v>212</v>
      </c>
      <c r="L99" s="11">
        <v>16215.43</v>
      </c>
      <c r="M99" s="11">
        <v>14851.96</v>
      </c>
      <c r="N99" s="11">
        <v>16262.96</v>
      </c>
      <c r="O99" s="11">
        <v>14786.32</v>
      </c>
      <c r="P99" s="4" t="s">
        <v>565</v>
      </c>
      <c r="Q99" s="7" t="s">
        <v>566</v>
      </c>
      <c r="R99" s="6" t="str">
        <f t="shared" si="5"/>
        <v>-8.665%</v>
      </c>
      <c r="T99" s="4" t="s">
        <v>212</v>
      </c>
      <c r="U99" s="11">
        <v>17042.88</v>
      </c>
      <c r="V99" s="11">
        <v>17139.4</v>
      </c>
      <c r="W99" s="11">
        <v>18174.69</v>
      </c>
      <c r="X99" s="11">
        <v>16863.05</v>
      </c>
      <c r="Y99" s="4" t="s">
        <v>567</v>
      </c>
      <c r="Z99" s="7" t="s">
        <v>521</v>
      </c>
      <c r="AA99" s="6" t="str">
        <f t="shared" si="6"/>
        <v>0.408%</v>
      </c>
    </row>
    <row r="100" ht="15.75" customHeight="1">
      <c r="B100" s="4" t="s">
        <v>219</v>
      </c>
      <c r="C100" s="4">
        <v>433.66</v>
      </c>
      <c r="D100" s="4">
        <v>450.82</v>
      </c>
      <c r="E100" s="4">
        <v>457.02</v>
      </c>
      <c r="F100" s="4">
        <v>428.84</v>
      </c>
      <c r="G100" s="4"/>
      <c r="H100" s="7" t="s">
        <v>568</v>
      </c>
      <c r="I100" s="6" t="str">
        <f t="shared" si="4"/>
        <v>3.819%</v>
      </c>
      <c r="K100" s="4" t="s">
        <v>219</v>
      </c>
      <c r="L100" s="11">
        <v>14810.34</v>
      </c>
      <c r="M100" s="11">
        <v>15439.96</v>
      </c>
      <c r="N100" s="11">
        <v>15575.28</v>
      </c>
      <c r="O100" s="11">
        <v>14630.21</v>
      </c>
      <c r="P100" s="4" t="s">
        <v>569</v>
      </c>
      <c r="Q100" s="7" t="s">
        <v>570</v>
      </c>
      <c r="R100" s="6" t="str">
        <f t="shared" si="5"/>
        <v>3.891%</v>
      </c>
      <c r="T100" s="4" t="s">
        <v>219</v>
      </c>
      <c r="U100" s="11">
        <v>17112.48</v>
      </c>
      <c r="V100" s="11">
        <v>17546.39</v>
      </c>
      <c r="W100" s="11">
        <v>18290.91</v>
      </c>
      <c r="X100" s="11">
        <v>16879.66</v>
      </c>
      <c r="Y100" s="4" t="s">
        <v>571</v>
      </c>
      <c r="Z100" s="7" t="s">
        <v>63</v>
      </c>
      <c r="AA100" s="6" t="str">
        <f t="shared" si="6"/>
        <v>4.074%</v>
      </c>
    </row>
    <row r="101" ht="15.75" customHeight="1">
      <c r="B101" s="4" t="s">
        <v>226</v>
      </c>
      <c r="C101" s="4">
        <v>450.22</v>
      </c>
      <c r="D101" s="4">
        <v>458.31</v>
      </c>
      <c r="E101" s="4">
        <v>465.32</v>
      </c>
      <c r="F101" s="4">
        <v>444.38</v>
      </c>
      <c r="G101" s="4"/>
      <c r="H101" s="7" t="s">
        <v>572</v>
      </c>
      <c r="I101" s="6" t="str">
        <f t="shared" si="4"/>
        <v>1.770%</v>
      </c>
      <c r="K101" s="4" t="s">
        <v>226</v>
      </c>
      <c r="L101" s="11">
        <v>15386.58</v>
      </c>
      <c r="M101" s="11">
        <v>15936.34</v>
      </c>
      <c r="N101" s="11">
        <v>15989.3</v>
      </c>
      <c r="O101" s="11">
        <v>15138.66</v>
      </c>
      <c r="P101" s="4" t="s">
        <v>573</v>
      </c>
      <c r="Q101" s="7" t="s">
        <v>574</v>
      </c>
      <c r="R101" s="6" t="str">
        <f t="shared" si="5"/>
        <v>3.643%</v>
      </c>
      <c r="T101" s="4" t="s">
        <v>226</v>
      </c>
      <c r="U101" s="11">
        <v>17809.66</v>
      </c>
      <c r="V101" s="11">
        <v>18592.53</v>
      </c>
      <c r="W101" s="11">
        <v>18899.49</v>
      </c>
      <c r="X101" s="11">
        <v>17352.83</v>
      </c>
      <c r="Y101" s="4" t="s">
        <v>575</v>
      </c>
      <c r="Z101" s="7" t="s">
        <v>576</v>
      </c>
      <c r="AA101" s="6" t="str">
        <f t="shared" si="6"/>
        <v>3.214%</v>
      </c>
    </row>
    <row r="102" ht="15.75" customHeight="1">
      <c r="B102" s="4" t="s">
        <v>233</v>
      </c>
      <c r="C102" s="4">
        <v>458.19</v>
      </c>
      <c r="D102" s="4">
        <v>470.95</v>
      </c>
      <c r="E102" s="4">
        <v>471.19</v>
      </c>
      <c r="F102" s="4">
        <v>445.5</v>
      </c>
      <c r="G102" s="4"/>
      <c r="H102" s="7" t="s">
        <v>577</v>
      </c>
      <c r="I102" s="6" t="str">
        <f t="shared" si="4"/>
        <v>2.872%</v>
      </c>
      <c r="K102" s="4" t="s">
        <v>233</v>
      </c>
      <c r="L102" s="11">
        <v>15947.08</v>
      </c>
      <c r="M102" s="11">
        <v>16414.79</v>
      </c>
      <c r="N102" s="11">
        <v>16430.66</v>
      </c>
      <c r="O102" s="11">
        <v>15468.65</v>
      </c>
      <c r="P102" s="4" t="s">
        <v>578</v>
      </c>
      <c r="Q102" s="7" t="s">
        <v>579</v>
      </c>
      <c r="R102" s="6" t="str">
        <f t="shared" si="5"/>
        <v>3.134%</v>
      </c>
      <c r="T102" s="4" t="s">
        <v>233</v>
      </c>
      <c r="U102" s="11">
        <v>18382.06</v>
      </c>
      <c r="V102" s="11">
        <v>20211.2</v>
      </c>
      <c r="W102" s="11">
        <v>20331.28</v>
      </c>
      <c r="X102" s="11">
        <v>17573.7</v>
      </c>
      <c r="Y102" s="4" t="s">
        <v>580</v>
      </c>
      <c r="Z102" s="7" t="s">
        <v>581</v>
      </c>
      <c r="AA102" s="6" t="str">
        <f t="shared" si="6"/>
        <v>9.231%</v>
      </c>
    </row>
    <row r="103" ht="15.75" customHeight="1">
      <c r="B103" s="4" t="s">
        <v>240</v>
      </c>
      <c r="C103" s="4">
        <v>471.35</v>
      </c>
      <c r="D103" s="4">
        <v>461.89</v>
      </c>
      <c r="E103" s="4">
        <v>472.69</v>
      </c>
      <c r="F103" s="4">
        <v>444.91</v>
      </c>
      <c r="G103" s="4"/>
      <c r="H103" s="7" t="s">
        <v>582</v>
      </c>
      <c r="I103" s="6" t="str">
        <f t="shared" si="4"/>
        <v>-1.999%</v>
      </c>
      <c r="K103" s="4" t="s">
        <v>240</v>
      </c>
      <c r="L103" s="11">
        <v>16446.83</v>
      </c>
      <c r="M103" s="11">
        <v>16187.91</v>
      </c>
      <c r="N103" s="11">
        <v>16528.97</v>
      </c>
      <c r="O103" s="11">
        <v>15456.16</v>
      </c>
      <c r="P103" s="4" t="s">
        <v>583</v>
      </c>
      <c r="Q103" s="7" t="s">
        <v>584</v>
      </c>
      <c r="R103" s="6" t="str">
        <f t="shared" si="5"/>
        <v>-1.818%</v>
      </c>
      <c r="T103" s="4" t="s">
        <v>240</v>
      </c>
      <c r="U103" s="11">
        <v>20078.94</v>
      </c>
      <c r="V103" s="11">
        <v>19002.55</v>
      </c>
      <c r="W103" s="11">
        <v>20361.03</v>
      </c>
      <c r="X103" s="11">
        <v>18279.73</v>
      </c>
      <c r="Y103" s="4" t="s">
        <v>585</v>
      </c>
      <c r="Z103" s="7" t="s">
        <v>586</v>
      </c>
      <c r="AA103" s="6" t="str">
        <f t="shared" si="6"/>
        <v>-5.790%</v>
      </c>
    </row>
    <row r="104" ht="15.75" customHeight="1">
      <c r="B104" s="4" t="s">
        <v>247</v>
      </c>
      <c r="C104" s="4">
        <v>461.93</v>
      </c>
      <c r="D104" s="4">
        <v>452.43</v>
      </c>
      <c r="E104" s="4">
        <v>468.25</v>
      </c>
      <c r="F104" s="4">
        <v>450.16</v>
      </c>
      <c r="G104" s="4"/>
      <c r="H104" s="7" t="s">
        <v>587</v>
      </c>
      <c r="I104" s="6" t="str">
        <f t="shared" si="4"/>
        <v>-2.202%</v>
      </c>
      <c r="K104" s="4" t="s">
        <v>247</v>
      </c>
      <c r="L104" s="11">
        <v>16147.9</v>
      </c>
      <c r="M104" s="11">
        <v>15744.01</v>
      </c>
      <c r="N104" s="11">
        <v>16427.42</v>
      </c>
      <c r="O104" s="11">
        <v>15713.7</v>
      </c>
      <c r="P104" s="4" t="s">
        <v>588</v>
      </c>
      <c r="Q104" s="7" t="s">
        <v>589</v>
      </c>
      <c r="R104" s="6" t="str">
        <f t="shared" si="5"/>
        <v>-2.997%</v>
      </c>
      <c r="T104" s="4" t="s">
        <v>247</v>
      </c>
      <c r="U104" s="11">
        <v>18916.43</v>
      </c>
      <c r="V104" s="11">
        <v>18190.27</v>
      </c>
      <c r="W104" s="11">
        <v>20155.92</v>
      </c>
      <c r="X104" s="11">
        <v>18190.27</v>
      </c>
      <c r="Y104" s="4" t="s">
        <v>590</v>
      </c>
      <c r="Z104" s="7" t="s">
        <v>444</v>
      </c>
      <c r="AA104" s="6" t="str">
        <f t="shared" si="6"/>
        <v>-3.606%</v>
      </c>
    </row>
    <row r="105" ht="15.75" customHeight="1">
      <c r="B105" s="4" t="s">
        <v>254</v>
      </c>
      <c r="C105" s="4">
        <v>451.76</v>
      </c>
      <c r="D105" s="4">
        <v>466.52</v>
      </c>
      <c r="E105" s="4">
        <v>470.45</v>
      </c>
      <c r="F105" s="4">
        <v>451.25</v>
      </c>
      <c r="G105" s="4"/>
      <c r="H105" s="7" t="s">
        <v>591</v>
      </c>
      <c r="I105" s="6" t="str">
        <f t="shared" si="4"/>
        <v>3.294%</v>
      </c>
      <c r="K105" s="4" t="s">
        <v>254</v>
      </c>
      <c r="L105" s="11">
        <v>15664.02</v>
      </c>
      <c r="M105" s="11">
        <v>15950.36</v>
      </c>
      <c r="N105" s="11">
        <v>16331.94</v>
      </c>
      <c r="O105" s="11">
        <v>15629.12</v>
      </c>
      <c r="P105" s="4" t="s">
        <v>592</v>
      </c>
      <c r="Q105" s="7" t="s">
        <v>593</v>
      </c>
      <c r="R105" s="6" t="str">
        <f t="shared" si="5"/>
        <v>1.649%</v>
      </c>
      <c r="T105" s="4" t="s">
        <v>254</v>
      </c>
      <c r="U105" s="11">
        <v>18234.27</v>
      </c>
      <c r="V105" s="11">
        <v>20122.9</v>
      </c>
      <c r="W105" s="11">
        <v>20321.74</v>
      </c>
      <c r="X105" s="11">
        <v>18044.86</v>
      </c>
      <c r="Y105" s="4" t="s">
        <v>594</v>
      </c>
      <c r="Z105" s="7" t="s">
        <v>595</v>
      </c>
      <c r="AA105" s="6" t="str">
        <f t="shared" si="6"/>
        <v>9.105%</v>
      </c>
    </row>
    <row r="106" ht="15.75" customHeight="1">
      <c r="B106" s="4" t="s">
        <v>261</v>
      </c>
      <c r="C106" s="4">
        <v>466.64</v>
      </c>
      <c r="D106" s="4">
        <v>457.83</v>
      </c>
      <c r="E106" s="4">
        <v>469.81</v>
      </c>
      <c r="F106" s="4">
        <v>455.56</v>
      </c>
      <c r="G106" s="4"/>
      <c r="H106" s="7" t="s">
        <v>596</v>
      </c>
      <c r="I106" s="6" t="str">
        <f t="shared" si="4"/>
        <v>-1.886%</v>
      </c>
      <c r="K106" s="4" t="s">
        <v>261</v>
      </c>
      <c r="L106" s="11">
        <v>15922.38</v>
      </c>
      <c r="M106" s="11">
        <v>15623.45</v>
      </c>
      <c r="N106" s="11">
        <v>15922.38</v>
      </c>
      <c r="O106" s="11">
        <v>15482.88</v>
      </c>
      <c r="P106" s="4" t="s">
        <v>597</v>
      </c>
      <c r="Q106" s="7" t="s">
        <v>598</v>
      </c>
      <c r="R106" s="6" t="str">
        <f t="shared" si="5"/>
        <v>-1.844%</v>
      </c>
      <c r="T106" s="4" t="s">
        <v>261</v>
      </c>
      <c r="U106" s="11">
        <v>19894.57</v>
      </c>
      <c r="V106" s="11">
        <v>20379.5</v>
      </c>
      <c r="W106" s="11">
        <v>20864.74</v>
      </c>
      <c r="X106" s="11">
        <v>19520.97</v>
      </c>
      <c r="Y106" s="4" t="s">
        <v>599</v>
      </c>
      <c r="Z106" s="7" t="s">
        <v>600</v>
      </c>
      <c r="AA106" s="6" t="str">
        <f t="shared" si="6"/>
        <v>2.541%</v>
      </c>
    </row>
    <row r="107" ht="15.75" customHeight="1">
      <c r="B107" s="4" t="s">
        <v>268</v>
      </c>
      <c r="C107" s="4">
        <v>457.84</v>
      </c>
      <c r="D107" s="4">
        <v>460.53</v>
      </c>
      <c r="E107" s="4">
        <v>465.95</v>
      </c>
      <c r="F107" s="4">
        <v>427.77</v>
      </c>
      <c r="G107" s="4"/>
      <c r="H107" s="7" t="s">
        <v>601</v>
      </c>
      <c r="I107" s="6" t="str">
        <f t="shared" si="4"/>
        <v>0.714%</v>
      </c>
      <c r="K107" s="4" t="s">
        <v>268</v>
      </c>
      <c r="L107" s="11">
        <v>15628.84</v>
      </c>
      <c r="M107" s="11">
        <v>15399.91</v>
      </c>
      <c r="N107" s="11">
        <v>15706.37</v>
      </c>
      <c r="O107" s="11">
        <v>14458.39</v>
      </c>
      <c r="P107" s="4" t="s">
        <v>602</v>
      </c>
      <c r="Q107" s="7" t="s">
        <v>603</v>
      </c>
      <c r="R107" s="6" t="str">
        <f t="shared" si="5"/>
        <v>-1.687%</v>
      </c>
      <c r="T107" s="4" t="s">
        <v>268</v>
      </c>
      <c r="U107" s="11">
        <v>20400.11</v>
      </c>
      <c r="V107" s="11">
        <v>19849.97</v>
      </c>
      <c r="W107" s="11">
        <v>21005.66</v>
      </c>
      <c r="X107" s="11">
        <v>18829.11</v>
      </c>
      <c r="Y107" s="4" t="s">
        <v>604</v>
      </c>
      <c r="Z107" s="7" t="s">
        <v>605</v>
      </c>
      <c r="AA107" s="6" t="str">
        <f t="shared" si="6"/>
        <v>-3.011%</v>
      </c>
    </row>
    <row r="108" ht="15.75" customHeight="1">
      <c r="B108" s="4" t="s">
        <v>275</v>
      </c>
      <c r="C108" s="4">
        <v>461.11</v>
      </c>
      <c r="D108" s="4">
        <v>453.72</v>
      </c>
      <c r="E108" s="4">
        <v>467.86</v>
      </c>
      <c r="F108" s="4">
        <v>452.16</v>
      </c>
      <c r="G108" s="4"/>
      <c r="H108" s="7" t="s">
        <v>606</v>
      </c>
      <c r="I108" s="6" t="str">
        <f t="shared" si="4"/>
        <v>-1.713%</v>
      </c>
      <c r="K108" s="4" t="s">
        <v>275</v>
      </c>
      <c r="L108" s="11">
        <v>15365.14</v>
      </c>
      <c r="M108" s="11">
        <v>15125.12</v>
      </c>
      <c r="N108" s="11">
        <v>15658.56</v>
      </c>
      <c r="O108" s="11">
        <v>15107.83</v>
      </c>
      <c r="P108" s="4" t="s">
        <v>560</v>
      </c>
      <c r="Q108" s="7" t="s">
        <v>607</v>
      </c>
      <c r="R108" s="6" t="str">
        <f t="shared" si="5"/>
        <v>-1.542%</v>
      </c>
      <c r="T108" s="4" t="s">
        <v>275</v>
      </c>
      <c r="U108" s="11">
        <v>19785.94</v>
      </c>
      <c r="V108" s="11">
        <v>21920.8</v>
      </c>
      <c r="W108" s="11">
        <v>22311.96</v>
      </c>
      <c r="X108" s="11">
        <v>19783.07</v>
      </c>
      <c r="Y108" s="4" t="s">
        <v>608</v>
      </c>
      <c r="Z108" s="7" t="s">
        <v>107</v>
      </c>
      <c r="AA108" s="6" t="str">
        <f t="shared" si="6"/>
        <v>10.393%</v>
      </c>
    </row>
    <row r="109" ht="15.75" customHeight="1">
      <c r="B109" s="4" t="s">
        <v>281</v>
      </c>
      <c r="C109" s="4">
        <v>453.21</v>
      </c>
      <c r="D109" s="4">
        <v>425.9</v>
      </c>
      <c r="E109" s="4">
        <v>459.3</v>
      </c>
      <c r="F109" s="4">
        <v>425.9</v>
      </c>
      <c r="G109" s="4"/>
      <c r="H109" s="7" t="s">
        <v>490</v>
      </c>
      <c r="I109" s="6" t="str">
        <f t="shared" si="4"/>
        <v>-6.249%</v>
      </c>
      <c r="K109" s="4" t="s">
        <v>281</v>
      </c>
      <c r="L109" s="11">
        <v>15128.27</v>
      </c>
      <c r="M109" s="11">
        <v>13992.71</v>
      </c>
      <c r="N109" s="11">
        <v>15269.71</v>
      </c>
      <c r="O109" s="11">
        <v>13976.44</v>
      </c>
      <c r="P109" s="4" t="s">
        <v>484</v>
      </c>
      <c r="Q109" s="7" t="s">
        <v>609</v>
      </c>
      <c r="R109" s="6" t="str">
        <f t="shared" si="5"/>
        <v>-7.963%</v>
      </c>
      <c r="T109" s="4" t="s">
        <v>281</v>
      </c>
      <c r="U109" s="11">
        <v>21842.33</v>
      </c>
      <c r="V109" s="11">
        <v>19570.43</v>
      </c>
      <c r="W109" s="11">
        <v>22700.85</v>
      </c>
      <c r="X109" s="11">
        <v>19303.73</v>
      </c>
      <c r="Y109" s="4" t="s">
        <v>610</v>
      </c>
      <c r="Z109" s="7" t="s">
        <v>611</v>
      </c>
      <c r="AA109" s="6" t="str">
        <f t="shared" si="6"/>
        <v>-9.435%</v>
      </c>
    </row>
    <row r="110" ht="15.75" customHeight="1">
      <c r="B110" s="4" t="s">
        <v>288</v>
      </c>
      <c r="C110" s="4">
        <v>424.89</v>
      </c>
      <c r="D110" s="4">
        <v>441.56</v>
      </c>
      <c r="E110" s="4">
        <v>447.11</v>
      </c>
      <c r="F110" s="4">
        <v>421.56</v>
      </c>
      <c r="G110" s="4"/>
      <c r="H110" s="7" t="s">
        <v>612</v>
      </c>
      <c r="I110" s="6" t="str">
        <f t="shared" si="4"/>
        <v>3.566%</v>
      </c>
      <c r="K110" s="4" t="s">
        <v>288</v>
      </c>
      <c r="L110" s="11">
        <v>13923.59</v>
      </c>
      <c r="M110" s="11">
        <v>14543.8</v>
      </c>
      <c r="N110" s="11">
        <v>14675.84</v>
      </c>
      <c r="O110" s="11">
        <v>13791.52</v>
      </c>
      <c r="P110" s="4" t="s">
        <v>613</v>
      </c>
      <c r="Q110" s="7" t="s">
        <v>614</v>
      </c>
      <c r="R110" s="6" t="str">
        <f t="shared" si="5"/>
        <v>3.400%</v>
      </c>
      <c r="T110" s="4" t="s">
        <v>288</v>
      </c>
      <c r="U110" s="11">
        <v>19781.41</v>
      </c>
      <c r="V110" s="11">
        <v>19058.9</v>
      </c>
      <c r="W110" s="11">
        <v>20099.77</v>
      </c>
      <c r="X110" s="11">
        <v>18530.82</v>
      </c>
      <c r="Y110" s="4" t="s">
        <v>615</v>
      </c>
      <c r="Z110" s="7" t="s">
        <v>616</v>
      </c>
      <c r="AA110" s="6" t="str">
        <f t="shared" si="6"/>
        <v>-5.986%</v>
      </c>
    </row>
    <row r="111" ht="15.75" customHeight="1">
      <c r="B111" s="4" t="s">
        <v>295</v>
      </c>
      <c r="C111" s="4">
        <v>440.04</v>
      </c>
      <c r="D111" s="4">
        <v>413.31</v>
      </c>
      <c r="E111" s="4">
        <v>441.62</v>
      </c>
      <c r="F111" s="4">
        <v>405.95</v>
      </c>
      <c r="G111" s="4"/>
      <c r="H111" s="7" t="s">
        <v>617</v>
      </c>
      <c r="I111" s="6" t="str">
        <f t="shared" si="4"/>
        <v>-6.327%</v>
      </c>
      <c r="K111" s="4" t="s">
        <v>295</v>
      </c>
      <c r="L111" s="11">
        <v>14397.04</v>
      </c>
      <c r="M111" s="11">
        <v>13344.85</v>
      </c>
      <c r="N111" s="11">
        <v>14571.66</v>
      </c>
      <c r="O111" s="11">
        <v>13022.64</v>
      </c>
      <c r="P111" s="4" t="s">
        <v>618</v>
      </c>
      <c r="Q111" s="7" t="s">
        <v>619</v>
      </c>
      <c r="R111" s="6" t="str">
        <f t="shared" si="5"/>
        <v>-7.941%</v>
      </c>
      <c r="T111" s="4" t="s">
        <v>295</v>
      </c>
      <c r="U111" s="11">
        <v>18597.23</v>
      </c>
      <c r="V111" s="11">
        <v>14859.92</v>
      </c>
      <c r="W111" s="11">
        <v>18645.35</v>
      </c>
      <c r="X111" s="11">
        <v>14859.92</v>
      </c>
      <c r="Y111" s="4" t="s">
        <v>620</v>
      </c>
      <c r="Z111" s="7" t="s">
        <v>621</v>
      </c>
      <c r="AA111" s="6" t="str">
        <f t="shared" si="6"/>
        <v>-21.026%</v>
      </c>
    </row>
    <row r="112" ht="15.75" customHeight="1">
      <c r="B112" s="4" t="s">
        <v>302</v>
      </c>
      <c r="C112" s="4">
        <v>412.2</v>
      </c>
      <c r="D112" s="4">
        <v>386.43</v>
      </c>
      <c r="E112" s="4">
        <v>413.16</v>
      </c>
      <c r="F112" s="4">
        <v>379.72</v>
      </c>
      <c r="G112" s="4"/>
      <c r="H112" s="7" t="s">
        <v>622</v>
      </c>
      <c r="I112" s="6" t="str">
        <f t="shared" si="4"/>
        <v>-5.907%</v>
      </c>
      <c r="K112" s="4" t="s">
        <v>302</v>
      </c>
      <c r="L112" s="11">
        <v>13253.74</v>
      </c>
      <c r="M112" s="11">
        <v>11951.84</v>
      </c>
      <c r="N112" s="11">
        <v>13307.09</v>
      </c>
      <c r="O112" s="11">
        <v>11893.94</v>
      </c>
      <c r="P112" s="4" t="s">
        <v>623</v>
      </c>
      <c r="Q112" s="7" t="s">
        <v>624</v>
      </c>
      <c r="R112" s="6" t="str">
        <f t="shared" si="5"/>
        <v>-8.597%</v>
      </c>
      <c r="T112" s="4" t="s">
        <v>302</v>
      </c>
      <c r="U112" s="11">
        <v>14687.02</v>
      </c>
      <c r="V112" s="11">
        <v>17050.25</v>
      </c>
      <c r="W112" s="11">
        <v>18164.2</v>
      </c>
      <c r="X112" s="11">
        <v>14597.31</v>
      </c>
      <c r="Y112" s="4" t="s">
        <v>625</v>
      </c>
      <c r="Z112" s="7" t="s">
        <v>626</v>
      </c>
      <c r="AA112" s="6" t="str">
        <f t="shared" si="6"/>
        <v>17.266%</v>
      </c>
    </row>
    <row r="113" ht="15.75" customHeight="1">
      <c r="B113" s="4" t="s">
        <v>309</v>
      </c>
      <c r="C113" s="4">
        <v>387.85</v>
      </c>
      <c r="D113" s="4">
        <v>414.47</v>
      </c>
      <c r="E113" s="4">
        <v>430.47</v>
      </c>
      <c r="F113" s="4">
        <v>380.04</v>
      </c>
      <c r="G113" s="4"/>
      <c r="H113" s="7" t="s">
        <v>627</v>
      </c>
      <c r="I113" s="6" t="str">
        <f t="shared" si="4"/>
        <v>7.031%</v>
      </c>
      <c r="K113" s="4" t="s">
        <v>309</v>
      </c>
      <c r="L113" s="11">
        <v>12114.36</v>
      </c>
      <c r="M113" s="11">
        <v>12713.75</v>
      </c>
      <c r="N113" s="11">
        <v>13564.83</v>
      </c>
      <c r="O113" s="11">
        <v>11862.84</v>
      </c>
      <c r="P113" s="4" t="s">
        <v>628</v>
      </c>
      <c r="Q113" s="7" t="s">
        <v>629</v>
      </c>
      <c r="R113" s="6" t="str">
        <f t="shared" si="5"/>
        <v>5.948%</v>
      </c>
      <c r="T113" s="4" t="s">
        <v>309</v>
      </c>
      <c r="U113" s="11">
        <v>17222.83</v>
      </c>
      <c r="V113" s="11">
        <v>19761.72</v>
      </c>
      <c r="W113" s="11">
        <v>19839.51</v>
      </c>
      <c r="X113" s="11">
        <v>17016.28</v>
      </c>
      <c r="Y113" s="4" t="s">
        <v>630</v>
      </c>
      <c r="Z113" s="7" t="s">
        <v>631</v>
      </c>
      <c r="AA113" s="6" t="str">
        <f t="shared" si="6"/>
        <v>15.860%</v>
      </c>
    </row>
    <row r="114" ht="15.75" customHeight="1">
      <c r="B114" s="4" t="s">
        <v>316</v>
      </c>
      <c r="C114" s="4">
        <v>415.12</v>
      </c>
      <c r="D114" s="4">
        <v>437.63</v>
      </c>
      <c r="E114" s="4">
        <v>444.46</v>
      </c>
      <c r="F114" s="4">
        <v>415.12</v>
      </c>
      <c r="G114" s="4"/>
      <c r="H114" s="7" t="s">
        <v>632</v>
      </c>
      <c r="I114" s="6" t="str">
        <f t="shared" si="4"/>
        <v>5.582%</v>
      </c>
      <c r="K114" s="4" t="s">
        <v>316</v>
      </c>
      <c r="L114" s="11">
        <v>12834.96</v>
      </c>
      <c r="M114" s="11">
        <v>13471.2</v>
      </c>
      <c r="N114" s="11">
        <v>13947.85</v>
      </c>
      <c r="O114" s="11">
        <v>12758.44</v>
      </c>
      <c r="P114" s="4" t="s">
        <v>633</v>
      </c>
      <c r="Q114" s="7" t="s">
        <v>634</v>
      </c>
      <c r="R114" s="6" t="str">
        <f t="shared" si="5"/>
        <v>5.057%</v>
      </c>
      <c r="T114" s="4" t="s">
        <v>316</v>
      </c>
      <c r="U114" s="11">
        <v>19954.39</v>
      </c>
      <c r="V114" s="11">
        <v>20026.6</v>
      </c>
      <c r="W114" s="11">
        <v>20283.59</v>
      </c>
      <c r="X114" s="11">
        <v>19189.54</v>
      </c>
      <c r="Y114" s="4" t="s">
        <v>635</v>
      </c>
      <c r="Z114" s="7" t="s">
        <v>636</v>
      </c>
      <c r="AA114" s="6" t="str">
        <f t="shared" si="6"/>
        <v>1.013%</v>
      </c>
    </row>
    <row r="115" ht="15.75" customHeight="1">
      <c r="B115" s="4" t="s">
        <v>323</v>
      </c>
      <c r="C115" s="4">
        <v>438.29</v>
      </c>
      <c r="D115" s="4">
        <v>405.89</v>
      </c>
      <c r="E115" s="4">
        <v>439.01</v>
      </c>
      <c r="F115" s="4">
        <v>400.5</v>
      </c>
      <c r="G115" s="4"/>
      <c r="H115" s="7" t="s">
        <v>637</v>
      </c>
      <c r="I115" s="6" t="str">
        <f t="shared" si="4"/>
        <v>-7.093%</v>
      </c>
      <c r="K115" s="4" t="s">
        <v>323</v>
      </c>
      <c r="L115" s="11">
        <v>13484.05</v>
      </c>
      <c r="M115" s="11">
        <v>12627.66</v>
      </c>
      <c r="N115" s="11">
        <v>13515.03</v>
      </c>
      <c r="O115" s="11">
        <v>12390.95</v>
      </c>
      <c r="P115" s="4" t="s">
        <v>592</v>
      </c>
      <c r="Q115" s="7" t="s">
        <v>638</v>
      </c>
      <c r="R115" s="6" t="str">
        <f t="shared" si="5"/>
        <v>-5.193%</v>
      </c>
      <c r="T115" s="4" t="s">
        <v>323</v>
      </c>
      <c r="U115" s="11">
        <v>20156.51</v>
      </c>
      <c r="V115" s="11">
        <v>21690.68</v>
      </c>
      <c r="W115" s="11">
        <v>22198.51</v>
      </c>
      <c r="X115" s="11">
        <v>20050.05</v>
      </c>
      <c r="Y115" s="4" t="s">
        <v>639</v>
      </c>
      <c r="Z115" s="7" t="s">
        <v>640</v>
      </c>
      <c r="AA115" s="6" t="str">
        <f t="shared" si="6"/>
        <v>8.450%</v>
      </c>
    </row>
    <row r="116" ht="15.75" customHeight="1">
      <c r="B116" s="4" t="s">
        <v>330</v>
      </c>
      <c r="C116" s="4">
        <v>407.2</v>
      </c>
      <c r="D116" s="4">
        <v>443.62</v>
      </c>
      <c r="E116" s="4">
        <v>445.72</v>
      </c>
      <c r="F116" s="4">
        <v>400.03</v>
      </c>
      <c r="G116" s="4"/>
      <c r="H116" s="7" t="s">
        <v>641</v>
      </c>
      <c r="I116" s="6" t="str">
        <f t="shared" si="4"/>
        <v>8.878%</v>
      </c>
      <c r="K116" s="4" t="s">
        <v>330</v>
      </c>
      <c r="L116" s="11">
        <v>12783.77</v>
      </c>
      <c r="M116" s="11">
        <v>14478.37</v>
      </c>
      <c r="N116" s="11">
        <v>14709.38</v>
      </c>
      <c r="O116" s="11">
        <v>12618.68</v>
      </c>
      <c r="P116" s="4" t="s">
        <v>440</v>
      </c>
      <c r="Q116" s="7" t="s">
        <v>642</v>
      </c>
      <c r="R116" s="6" t="str">
        <f t="shared" si="5"/>
        <v>12.552%</v>
      </c>
      <c r="T116" s="4" t="s">
        <v>330</v>
      </c>
      <c r="U116" s="11">
        <v>21859.79</v>
      </c>
      <c r="V116" s="11">
        <v>21407.79</v>
      </c>
      <c r="W116" s="11">
        <v>22449.31</v>
      </c>
      <c r="X116" s="11">
        <v>20697.17</v>
      </c>
      <c r="Y116" s="4" t="s">
        <v>643</v>
      </c>
      <c r="Z116" s="7" t="s">
        <v>644</v>
      </c>
      <c r="AA116" s="6" t="str">
        <f t="shared" si="6"/>
        <v>-2.034%</v>
      </c>
    </row>
    <row r="117" ht="15.75" customHeight="1">
      <c r="B117" s="4" t="s">
        <v>337</v>
      </c>
      <c r="C117" s="4">
        <v>443.35</v>
      </c>
      <c r="D117" s="4">
        <v>448.26</v>
      </c>
      <c r="E117" s="4">
        <v>449.48</v>
      </c>
      <c r="F117" s="4">
        <v>417.27</v>
      </c>
      <c r="G117" s="4"/>
      <c r="H117" s="7" t="s">
        <v>645</v>
      </c>
      <c r="I117" s="6" t="str">
        <f t="shared" si="4"/>
        <v>1.588%</v>
      </c>
      <c r="K117" s="4" t="s">
        <v>337</v>
      </c>
      <c r="L117" s="11">
        <v>14388.35</v>
      </c>
      <c r="M117" s="11">
        <v>13996.82</v>
      </c>
      <c r="N117" s="11">
        <v>14589.45</v>
      </c>
      <c r="O117" s="11">
        <v>13380.67</v>
      </c>
      <c r="P117" s="4" t="s">
        <v>646</v>
      </c>
      <c r="Q117" s="7" t="s">
        <v>647</v>
      </c>
      <c r="R117" s="6" t="str">
        <f t="shared" si="5"/>
        <v>-2.019%</v>
      </c>
      <c r="T117" s="4" t="s">
        <v>337</v>
      </c>
      <c r="U117" s="11">
        <v>21415.2</v>
      </c>
      <c r="V117" s="11">
        <v>20927.62</v>
      </c>
      <c r="W117" s="11">
        <v>21415.2</v>
      </c>
      <c r="X117" s="11">
        <v>19178.89</v>
      </c>
      <c r="Y117" s="4" t="s">
        <v>648</v>
      </c>
      <c r="Z117" s="7" t="s">
        <v>649</v>
      </c>
      <c r="AA117" s="6" t="str">
        <f t="shared" si="6"/>
        <v>-1.521%</v>
      </c>
    </row>
    <row r="118" ht="15.75" customHeight="1">
      <c r="B118" s="4" t="s">
        <v>344</v>
      </c>
      <c r="C118" s="4">
        <v>450.39</v>
      </c>
      <c r="D118" s="4">
        <v>456.46</v>
      </c>
      <c r="E118" s="4">
        <v>464.11</v>
      </c>
      <c r="F118" s="4">
        <v>436.75</v>
      </c>
      <c r="G118" s="4"/>
      <c r="H118" s="7" t="s">
        <v>650</v>
      </c>
      <c r="I118" s="6" t="str">
        <f t="shared" si="4"/>
        <v>1.215%</v>
      </c>
      <c r="K118" s="4" t="s">
        <v>344</v>
      </c>
      <c r="L118" s="11">
        <v>14097.88</v>
      </c>
      <c r="M118" s="11">
        <v>14447.78</v>
      </c>
      <c r="N118" s="11">
        <v>14603.44</v>
      </c>
      <c r="O118" s="11">
        <v>13566.2</v>
      </c>
      <c r="P118" s="4" t="s">
        <v>651</v>
      </c>
      <c r="Q118" s="7" t="s">
        <v>407</v>
      </c>
      <c r="R118" s="6" t="str">
        <f t="shared" si="5"/>
        <v>2.248%</v>
      </c>
      <c r="T118" s="4" t="s">
        <v>344</v>
      </c>
      <c r="U118" s="11">
        <v>21089.39</v>
      </c>
      <c r="V118" s="11">
        <v>21693.1</v>
      </c>
      <c r="W118" s="11">
        <v>22523.64</v>
      </c>
      <c r="X118" s="11">
        <v>19665.49</v>
      </c>
      <c r="Y118" s="4" t="s">
        <v>652</v>
      </c>
      <c r="Z118" s="7" t="s">
        <v>653</v>
      </c>
      <c r="AA118" s="6" t="str">
        <f t="shared" si="6"/>
        <v>4.303%</v>
      </c>
    </row>
    <row r="119" ht="15.75" customHeight="1">
      <c r="B119" s="4" t="s">
        <v>351</v>
      </c>
      <c r="C119" s="4">
        <v>455.86</v>
      </c>
      <c r="D119" s="4">
        <v>453.0</v>
      </c>
      <c r="E119" s="4">
        <v>463.79</v>
      </c>
      <c r="F119" s="4">
        <v>405.61</v>
      </c>
      <c r="G119" s="4"/>
      <c r="H119" s="7" t="s">
        <v>654</v>
      </c>
      <c r="I119" s="6" t="str">
        <f t="shared" si="4"/>
        <v>-0.603%</v>
      </c>
      <c r="K119" s="4" t="s">
        <v>351</v>
      </c>
      <c r="L119" s="11">
        <v>14414.75</v>
      </c>
      <c r="M119" s="11">
        <v>14404.22</v>
      </c>
      <c r="N119" s="11">
        <v>14925.25</v>
      </c>
      <c r="O119" s="11">
        <v>12438.85</v>
      </c>
      <c r="P119" s="4" t="s">
        <v>655</v>
      </c>
      <c r="Q119" s="7" t="s">
        <v>656</v>
      </c>
      <c r="R119" s="6" t="str">
        <f t="shared" si="5"/>
        <v>0.321%</v>
      </c>
      <c r="T119" s="4" t="s">
        <v>351</v>
      </c>
      <c r="U119" s="11">
        <v>21996.85</v>
      </c>
      <c r="V119" s="11">
        <v>22739.84</v>
      </c>
      <c r="W119" s="11">
        <v>22937.56</v>
      </c>
      <c r="X119" s="11">
        <v>18235.48</v>
      </c>
      <c r="Y119" s="4" t="s">
        <v>657</v>
      </c>
      <c r="Z119" s="7" t="s">
        <v>658</v>
      </c>
      <c r="AA119" s="6" t="str">
        <f t="shared" si="6"/>
        <v>3.256%</v>
      </c>
    </row>
    <row r="120" ht="15.75" customHeight="1">
      <c r="B120" s="4" t="s">
        <v>358</v>
      </c>
      <c r="C120" s="4">
        <v>453.11</v>
      </c>
      <c r="D120" s="4">
        <v>470.49</v>
      </c>
      <c r="E120" s="4">
        <v>478.89</v>
      </c>
      <c r="F120" s="4">
        <v>434.05</v>
      </c>
      <c r="G120" s="4"/>
      <c r="H120" s="7" t="s">
        <v>659</v>
      </c>
      <c r="I120" s="6" t="str">
        <f t="shared" si="4"/>
        <v>3.480%</v>
      </c>
      <c r="K120" s="4" t="s">
        <v>358</v>
      </c>
      <c r="L120" s="11">
        <v>14461.02</v>
      </c>
      <c r="M120" s="11">
        <v>15620.56</v>
      </c>
      <c r="N120" s="11">
        <v>15736.52</v>
      </c>
      <c r="O120" s="11">
        <v>13807.28</v>
      </c>
      <c r="P120" s="4" t="s">
        <v>660</v>
      </c>
      <c r="Q120" s="7" t="s">
        <v>661</v>
      </c>
      <c r="R120" s="6" t="str">
        <f t="shared" si="5"/>
        <v>6.986%</v>
      </c>
      <c r="T120" s="4" t="s">
        <v>358</v>
      </c>
      <c r="U120" s="11">
        <v>22713.02</v>
      </c>
      <c r="V120" s="11">
        <v>24392.86</v>
      </c>
      <c r="W120" s="11">
        <v>25050.59</v>
      </c>
      <c r="X120" s="11">
        <v>22406.12</v>
      </c>
      <c r="Y120" s="4" t="s">
        <v>662</v>
      </c>
      <c r="Z120" s="7" t="s">
        <v>663</v>
      </c>
      <c r="AA120" s="6" t="str">
        <f t="shared" si="6"/>
        <v>4.796%</v>
      </c>
    </row>
    <row r="121" ht="15.75" customHeight="1">
      <c r="B121" s="4" t="s">
        <v>365</v>
      </c>
      <c r="C121" s="4">
        <v>468.88</v>
      </c>
      <c r="D121" s="4">
        <v>488.28</v>
      </c>
      <c r="E121" s="4">
        <v>495.46</v>
      </c>
      <c r="F121" s="4">
        <v>454.52</v>
      </c>
      <c r="G121" s="4"/>
      <c r="H121" s="7" t="s">
        <v>664</v>
      </c>
      <c r="I121" s="6" t="str">
        <f t="shared" si="4"/>
        <v>4.229%</v>
      </c>
      <c r="K121" s="4" t="s">
        <v>365</v>
      </c>
      <c r="L121" s="11">
        <v>15471.2</v>
      </c>
      <c r="M121" s="11">
        <v>15947.44</v>
      </c>
      <c r="N121" s="11">
        <v>16285.35</v>
      </c>
      <c r="O121" s="11">
        <v>14952.67</v>
      </c>
      <c r="P121" s="4" t="s">
        <v>588</v>
      </c>
      <c r="Q121" s="7" t="s">
        <v>665</v>
      </c>
      <c r="R121" s="6" t="str">
        <f t="shared" si="5"/>
        <v>2.674%</v>
      </c>
      <c r="T121" s="4" t="s">
        <v>365</v>
      </c>
      <c r="U121" s="11">
        <v>23802.26</v>
      </c>
      <c r="V121" s="11">
        <v>23510.54</v>
      </c>
      <c r="W121" s="11">
        <v>24982.03</v>
      </c>
      <c r="X121" s="11">
        <v>22709.6</v>
      </c>
      <c r="Y121" s="4" t="s">
        <v>666</v>
      </c>
      <c r="Z121" s="7" t="s">
        <v>667</v>
      </c>
      <c r="AA121" s="6" t="str">
        <f t="shared" si="6"/>
        <v>-1.700%</v>
      </c>
    </row>
    <row r="122" ht="15.75" customHeight="1">
      <c r="B122" s="4" t="s">
        <v>372</v>
      </c>
      <c r="C122" s="4">
        <v>488.71</v>
      </c>
      <c r="D122" s="4">
        <v>464.12</v>
      </c>
      <c r="E122" s="4">
        <v>490.1</v>
      </c>
      <c r="F122" s="4">
        <v>461.26</v>
      </c>
      <c r="G122" s="4"/>
      <c r="H122" s="7" t="s">
        <v>668</v>
      </c>
      <c r="I122" s="6" t="str">
        <f t="shared" si="4"/>
        <v>-5.269%</v>
      </c>
      <c r="K122" s="4" t="s">
        <v>372</v>
      </c>
      <c r="L122" s="11">
        <v>15884.86</v>
      </c>
      <c r="M122" s="11">
        <v>15233.37</v>
      </c>
      <c r="N122" s="11">
        <v>15974.79</v>
      </c>
      <c r="O122" s="11">
        <v>15060.1</v>
      </c>
      <c r="P122" s="4" t="s">
        <v>578</v>
      </c>
      <c r="Q122" s="7" t="s">
        <v>669</v>
      </c>
      <c r="R122" s="6" t="str">
        <f t="shared" si="5"/>
        <v>-4.940%</v>
      </c>
      <c r="T122" s="4" t="s">
        <v>372</v>
      </c>
      <c r="U122" s="11">
        <v>23397.67</v>
      </c>
      <c r="V122" s="11">
        <v>23595.57</v>
      </c>
      <c r="W122" s="11">
        <v>24385.44</v>
      </c>
      <c r="X122" s="11">
        <v>22665.25</v>
      </c>
      <c r="Y122" s="4" t="s">
        <v>670</v>
      </c>
      <c r="Z122" s="7" t="s">
        <v>409</v>
      </c>
      <c r="AA122" s="6" t="str">
        <f t="shared" si="6"/>
        <v>0.332%</v>
      </c>
    </row>
    <row r="123" ht="15.75" customHeight="1">
      <c r="B123" s="4" t="s">
        <v>378</v>
      </c>
      <c r="C123" s="4">
        <v>462.96</v>
      </c>
      <c r="D123" s="4">
        <v>475.87</v>
      </c>
      <c r="E123" s="4">
        <v>490.58</v>
      </c>
      <c r="F123" s="4">
        <v>459.54</v>
      </c>
      <c r="G123" s="4"/>
      <c r="H123" s="7" t="s">
        <v>671</v>
      </c>
      <c r="I123" s="6" t="str">
        <f t="shared" si="4"/>
        <v>2.711%</v>
      </c>
      <c r="K123" s="4" t="s">
        <v>378</v>
      </c>
      <c r="L123" s="11">
        <v>15100.13</v>
      </c>
      <c r="M123" s="11">
        <v>15764.55</v>
      </c>
      <c r="N123" s="11">
        <v>16290.19</v>
      </c>
      <c r="O123" s="11">
        <v>15015.42</v>
      </c>
      <c r="P123" s="4" t="s">
        <v>672</v>
      </c>
      <c r="Q123" s="7" t="s">
        <v>570</v>
      </c>
      <c r="R123" s="6" t="str">
        <f t="shared" si="5"/>
        <v>3.898%</v>
      </c>
      <c r="T123" s="4" t="s">
        <v>378</v>
      </c>
      <c r="U123" s="11">
        <v>23475.26</v>
      </c>
      <c r="V123" s="11">
        <v>25268.35</v>
      </c>
      <c r="W123" s="11">
        <v>25746.71</v>
      </c>
      <c r="X123" s="11">
        <v>23175.37</v>
      </c>
      <c r="Y123" s="4" t="s">
        <v>673</v>
      </c>
      <c r="Z123" s="7" t="s">
        <v>674</v>
      </c>
      <c r="AA123" s="6" t="str">
        <f t="shared" si="6"/>
        <v>8.102%</v>
      </c>
    </row>
    <row r="124" ht="15.75" customHeight="1">
      <c r="B124" s="4" t="s">
        <v>385</v>
      </c>
      <c r="C124" s="4">
        <v>475.51</v>
      </c>
      <c r="D124" s="4">
        <v>451.73</v>
      </c>
      <c r="E124" s="4">
        <v>476.06</v>
      </c>
      <c r="F124" s="4">
        <v>446.25</v>
      </c>
      <c r="G124" s="4"/>
      <c r="H124" s="7" t="s">
        <v>675</v>
      </c>
      <c r="I124" s="6" t="str">
        <f t="shared" si="4"/>
        <v>-4.353%</v>
      </c>
      <c r="K124" s="4" t="s">
        <v>385</v>
      </c>
      <c r="L124" s="11">
        <v>15688.77</v>
      </c>
      <c r="M124" s="11">
        <v>15041.6</v>
      </c>
      <c r="N124" s="11">
        <v>15781.0</v>
      </c>
      <c r="O124" s="11">
        <v>14818.71</v>
      </c>
      <c r="P124" s="4" t="s">
        <v>578</v>
      </c>
      <c r="Q124" s="7" t="s">
        <v>676</v>
      </c>
      <c r="R124" s="6" t="str">
        <f t="shared" si="5"/>
        <v>-2.729%</v>
      </c>
      <c r="T124" s="4" t="s">
        <v>385</v>
      </c>
      <c r="U124" s="11">
        <v>25377.24</v>
      </c>
      <c r="V124" s="11">
        <v>24478.68</v>
      </c>
      <c r="W124" s="11">
        <v>26234.94</v>
      </c>
      <c r="X124" s="11">
        <v>23681.44</v>
      </c>
      <c r="Y124" s="4" t="s">
        <v>677</v>
      </c>
      <c r="Z124" s="7" t="s">
        <v>678</v>
      </c>
      <c r="AA124" s="6" t="str">
        <f t="shared" si="6"/>
        <v>-3.159%</v>
      </c>
    </row>
    <row r="125" ht="15.75" customHeight="1">
      <c r="B125" s="4" t="s">
        <v>392</v>
      </c>
      <c r="C125" s="4">
        <v>454.81</v>
      </c>
      <c r="D125" s="4">
        <v>471.74</v>
      </c>
      <c r="E125" s="4">
        <v>475.65</v>
      </c>
      <c r="F125" s="4">
        <v>450.25</v>
      </c>
      <c r="G125" s="4"/>
      <c r="H125" s="7" t="s">
        <v>679</v>
      </c>
      <c r="I125" s="6" t="str">
        <f t="shared" si="4"/>
        <v>3.533%</v>
      </c>
      <c r="K125" s="4" t="s">
        <v>392</v>
      </c>
      <c r="L125" s="11">
        <v>15260.69</v>
      </c>
      <c r="M125" s="11">
        <v>15958.41</v>
      </c>
      <c r="N125" s="11">
        <v>15981.7</v>
      </c>
      <c r="O125" s="11">
        <v>15019.49</v>
      </c>
      <c r="P125" s="4" t="s">
        <v>583</v>
      </c>
      <c r="Q125" s="7" t="s">
        <v>680</v>
      </c>
      <c r="R125" s="6" t="str">
        <f t="shared" si="5"/>
        <v>3.764%</v>
      </c>
      <c r="T125" s="4" t="s">
        <v>392</v>
      </c>
      <c r="U125" s="11">
        <v>24575.64</v>
      </c>
      <c r="V125" s="11">
        <v>25871.82</v>
      </c>
      <c r="W125" s="11">
        <v>26560.04</v>
      </c>
      <c r="X125" s="11">
        <v>23771.46</v>
      </c>
      <c r="Y125" s="4" t="s">
        <v>681</v>
      </c>
      <c r="Z125" s="7" t="s">
        <v>682</v>
      </c>
      <c r="AA125" s="6" t="str">
        <f t="shared" si="6"/>
        <v>5.303%</v>
      </c>
    </row>
    <row r="126" ht="15.75" customHeight="1">
      <c r="B126" s="4" t="s">
        <v>399</v>
      </c>
      <c r="C126" s="4">
        <v>470.88</v>
      </c>
      <c r="D126" s="4">
        <v>462.4</v>
      </c>
      <c r="E126" s="4">
        <v>476.16</v>
      </c>
      <c r="F126" s="4">
        <v>462.4</v>
      </c>
      <c r="G126" s="4"/>
      <c r="H126" s="7" t="s">
        <v>155</v>
      </c>
      <c r="I126" s="6" t="str">
        <f t="shared" si="4"/>
        <v>-1.941%</v>
      </c>
      <c r="K126" s="4" t="s">
        <v>399</v>
      </c>
      <c r="L126" s="11">
        <v>15835.09</v>
      </c>
      <c r="M126" s="11">
        <v>15631.7</v>
      </c>
      <c r="N126" s="11">
        <v>16030.33</v>
      </c>
      <c r="O126" s="11">
        <v>15492.58</v>
      </c>
      <c r="P126" s="4" t="s">
        <v>683</v>
      </c>
      <c r="Q126" s="7" t="s">
        <v>684</v>
      </c>
      <c r="R126" s="6" t="str">
        <f t="shared" si="5"/>
        <v>-1.836%</v>
      </c>
      <c r="T126" s="4" t="s">
        <v>399</v>
      </c>
      <c r="U126" s="11">
        <v>25878.99</v>
      </c>
      <c r="V126" s="11">
        <v>26054.81</v>
      </c>
      <c r="W126" s="11">
        <v>26822.47</v>
      </c>
      <c r="X126" s="11">
        <v>24581.6</v>
      </c>
      <c r="Y126" s="4" t="s">
        <v>685</v>
      </c>
      <c r="Z126" s="7" t="s">
        <v>656</v>
      </c>
      <c r="AA126" s="6" t="str">
        <f t="shared" si="6"/>
        <v>0.317%</v>
      </c>
    </row>
    <row r="127" ht="15.75" customHeight="1">
      <c r="B127" s="4" t="s">
        <v>405</v>
      </c>
      <c r="C127" s="4">
        <v>461.74</v>
      </c>
      <c r="D127" s="4">
        <v>453.59</v>
      </c>
      <c r="E127" s="4">
        <v>464.31</v>
      </c>
      <c r="F127" s="4">
        <v>442.13</v>
      </c>
      <c r="G127" s="4"/>
      <c r="H127" s="7" t="s">
        <v>686</v>
      </c>
      <c r="I127" s="6" t="str">
        <f t="shared" si="4"/>
        <v>-1.927%</v>
      </c>
      <c r="K127" s="4" t="s">
        <v>405</v>
      </c>
      <c r="L127" s="11">
        <v>15544.39</v>
      </c>
      <c r="M127" s="11">
        <v>15624.28</v>
      </c>
      <c r="N127" s="11">
        <v>15810.68</v>
      </c>
      <c r="O127" s="11">
        <v>15048.56</v>
      </c>
      <c r="P127" s="4" t="s">
        <v>470</v>
      </c>
      <c r="Q127" s="7" t="s">
        <v>362</v>
      </c>
      <c r="R127" s="6" t="str">
        <f t="shared" si="5"/>
        <v>-0.086%</v>
      </c>
      <c r="T127" s="4" t="s">
        <v>405</v>
      </c>
      <c r="U127" s="11">
        <v>25961.03</v>
      </c>
      <c r="V127" s="11">
        <v>28859.02</v>
      </c>
      <c r="W127" s="11">
        <v>28859.02</v>
      </c>
      <c r="X127" s="11">
        <v>24748.84</v>
      </c>
      <c r="Y127" s="4" t="s">
        <v>687</v>
      </c>
      <c r="Z127" s="7" t="s">
        <v>688</v>
      </c>
      <c r="AA127" s="6" t="str">
        <f t="shared" si="6"/>
        <v>11.043%</v>
      </c>
    </row>
    <row r="128" ht="15.75" customHeight="1">
      <c r="B128" s="4" t="s">
        <v>412</v>
      </c>
      <c r="C128" s="4">
        <v>452.84</v>
      </c>
      <c r="D128" s="4">
        <v>447.58</v>
      </c>
      <c r="E128" s="4">
        <v>460.51</v>
      </c>
      <c r="F128" s="4">
        <v>447.58</v>
      </c>
      <c r="G128" s="4"/>
      <c r="H128" s="7" t="s">
        <v>689</v>
      </c>
      <c r="I128" s="6" t="str">
        <f t="shared" si="4"/>
        <v>-1.343%</v>
      </c>
      <c r="K128" s="4" t="s">
        <v>412</v>
      </c>
      <c r="L128" s="11">
        <v>15531.04</v>
      </c>
      <c r="M128" s="11">
        <v>15513.13</v>
      </c>
      <c r="N128" s="11">
        <v>15802.67</v>
      </c>
      <c r="O128" s="11">
        <v>15309.44</v>
      </c>
      <c r="P128" s="4" t="s">
        <v>597</v>
      </c>
      <c r="Q128" s="7" t="s">
        <v>690</v>
      </c>
      <c r="R128" s="6" t="str">
        <f t="shared" si="5"/>
        <v>-0.708%</v>
      </c>
      <c r="T128" s="4" t="s">
        <v>412</v>
      </c>
      <c r="U128" s="11">
        <v>28827.95</v>
      </c>
      <c r="V128" s="11">
        <v>29159.06</v>
      </c>
      <c r="W128" s="11">
        <v>29490.61</v>
      </c>
      <c r="X128" s="11">
        <v>28216.09</v>
      </c>
      <c r="Y128" s="4" t="s">
        <v>691</v>
      </c>
      <c r="Z128" s="7" t="s">
        <v>692</v>
      </c>
      <c r="AA128" s="6" t="str">
        <f t="shared" si="6"/>
        <v>1.123%</v>
      </c>
    </row>
    <row r="129" ht="15.75" customHeight="1">
      <c r="B129" s="4" t="s">
        <v>419</v>
      </c>
      <c r="C129" s="4">
        <v>446.76</v>
      </c>
      <c r="D129" s="4">
        <v>437.87</v>
      </c>
      <c r="E129" s="4">
        <v>450.07</v>
      </c>
      <c r="F129" s="4">
        <v>430.32</v>
      </c>
      <c r="G129" s="4"/>
      <c r="H129" s="7" t="s">
        <v>693</v>
      </c>
      <c r="K129" s="4" t="s">
        <v>419</v>
      </c>
      <c r="L129" s="11">
        <v>15421.13</v>
      </c>
      <c r="M129" s="11">
        <v>15191.79</v>
      </c>
      <c r="N129" s="11">
        <v>15568.6</v>
      </c>
      <c r="O129" s="11">
        <v>14816.35</v>
      </c>
      <c r="P129" s="4" t="s">
        <v>503</v>
      </c>
      <c r="Q129" s="7" t="s">
        <v>598</v>
      </c>
      <c r="T129" s="4" t="s">
        <v>419</v>
      </c>
      <c r="U129" s="11">
        <v>29151.8</v>
      </c>
      <c r="V129" s="11">
        <v>28659.91</v>
      </c>
      <c r="W129" s="11">
        <v>29336.13</v>
      </c>
      <c r="X129" s="11">
        <v>27715.88</v>
      </c>
      <c r="Y129" s="4" t="s">
        <v>694</v>
      </c>
      <c r="Z129" s="7" t="s">
        <v>695</v>
      </c>
    </row>
    <row r="130" ht="15.75" customHeight="1"/>
    <row r="131" ht="15.75" customHeight="1"/>
    <row r="132" ht="15.75" customHeight="1">
      <c r="T132" s="5" t="s">
        <v>696</v>
      </c>
      <c r="V132" s="12" t="s">
        <v>697</v>
      </c>
      <c r="W132" s="10"/>
      <c r="X132" s="12" t="s">
        <v>698</v>
      </c>
      <c r="Y132" s="10"/>
    </row>
    <row r="133" ht="15.75" customHeight="1">
      <c r="B133" s="5" t="s">
        <v>696</v>
      </c>
      <c r="D133" s="10" t="s">
        <v>699</v>
      </c>
      <c r="E133" s="10"/>
      <c r="F133" s="10" t="s">
        <v>700</v>
      </c>
      <c r="G133" s="10"/>
      <c r="K133" s="5" t="s">
        <v>696</v>
      </c>
      <c r="M133" s="12" t="s">
        <v>701</v>
      </c>
      <c r="N133" s="10"/>
      <c r="O133" s="12" t="s">
        <v>702</v>
      </c>
      <c r="P133" s="10"/>
      <c r="T133" s="3" t="s">
        <v>12</v>
      </c>
      <c r="V133" s="6">
        <v>-0.013074656411534491</v>
      </c>
      <c r="X133" s="6">
        <v>0.018286814244465655</v>
      </c>
    </row>
    <row r="134" ht="15.75" customHeight="1">
      <c r="B134" s="3" t="s">
        <v>12</v>
      </c>
      <c r="C134" s="6"/>
      <c r="D134" s="6">
        <v>-0.02261032800898377</v>
      </c>
      <c r="F134" s="6">
        <v>-0.07917933130699084</v>
      </c>
      <c r="K134" s="3" t="s">
        <v>12</v>
      </c>
      <c r="M134" s="6">
        <v>-0.021065189692024533</v>
      </c>
      <c r="O134" s="6">
        <v>-0.006645149041199949</v>
      </c>
      <c r="T134" s="3" t="s">
        <v>19</v>
      </c>
      <c r="V134" s="6">
        <v>0.07432586712839284</v>
      </c>
      <c r="X134" s="6">
        <v>-0.10255198487712658</v>
      </c>
    </row>
    <row r="135" ht="15.75" customHeight="1">
      <c r="B135" s="3" t="s">
        <v>19</v>
      </c>
      <c r="C135" s="6"/>
      <c r="D135" s="6">
        <v>0.08696024968275196</v>
      </c>
      <c r="F135" s="6">
        <v>0.1455685756725531</v>
      </c>
      <c r="K135" s="3" t="s">
        <v>19</v>
      </c>
      <c r="M135" s="6">
        <v>0.11482431247916658</v>
      </c>
      <c r="O135" s="6">
        <v>0.128631498470948</v>
      </c>
      <c r="T135" s="3" t="s">
        <v>26</v>
      </c>
      <c r="V135" s="6">
        <v>0.028409863262254476</v>
      </c>
      <c r="X135" s="6">
        <v>0.029489204844655115</v>
      </c>
    </row>
    <row r="136" ht="15.75" customHeight="1">
      <c r="B136" s="3" t="s">
        <v>26</v>
      </c>
      <c r="C136" s="6"/>
      <c r="D136" s="6">
        <v>-0.036049538534353553</v>
      </c>
      <c r="F136" s="6">
        <v>0.19377611295202413</v>
      </c>
      <c r="K136" s="3" t="s">
        <v>26</v>
      </c>
      <c r="M136" s="6">
        <v>-0.02948276912197534</v>
      </c>
      <c r="O136" s="6">
        <v>-0.025232853513971087</v>
      </c>
      <c r="T136" s="3" t="s">
        <v>33</v>
      </c>
      <c r="V136" s="6">
        <v>-0.06413856737713475</v>
      </c>
      <c r="X136" s="6">
        <v>-0.02455242966751925</v>
      </c>
    </row>
    <row r="137" ht="15.75" customHeight="1">
      <c r="B137" s="3" t="s">
        <v>33</v>
      </c>
      <c r="C137" s="6"/>
      <c r="D137" s="6">
        <v>-0.029819967266775826</v>
      </c>
      <c r="F137" s="6">
        <v>0.14180545498431107</v>
      </c>
      <c r="K137" s="3" t="s">
        <v>33</v>
      </c>
      <c r="M137" s="6">
        <v>-0.001972385783988728</v>
      </c>
      <c r="O137" s="6">
        <v>0.04899235580264083</v>
      </c>
      <c r="T137" s="3" t="s">
        <v>40</v>
      </c>
      <c r="V137" s="6">
        <v>0.008909293366429205</v>
      </c>
      <c r="X137" s="6">
        <v>0.02254850550603038</v>
      </c>
    </row>
    <row r="138" ht="15.75" customHeight="1">
      <c r="B138" s="3" t="s">
        <v>40</v>
      </c>
      <c r="C138" s="6"/>
      <c r="D138" s="6">
        <v>-0.027581902223421828</v>
      </c>
      <c r="F138" s="6">
        <v>-0.02832681534721493</v>
      </c>
      <c r="K138" s="3" t="s">
        <v>40</v>
      </c>
      <c r="M138" s="6">
        <v>-0.026688814111319403</v>
      </c>
      <c r="O138" s="6">
        <v>-0.034614110632659845</v>
      </c>
      <c r="T138" s="3" t="s">
        <v>47</v>
      </c>
      <c r="V138" s="6">
        <v>0.001846947026728607</v>
      </c>
      <c r="X138" s="6">
        <v>0.031794871794871726</v>
      </c>
    </row>
    <row r="139" ht="15.75" customHeight="1">
      <c r="B139" s="3" t="s">
        <v>47</v>
      </c>
      <c r="C139" s="6"/>
      <c r="D139" s="6">
        <v>-0.00787606474333391</v>
      </c>
      <c r="F139" s="6">
        <v>-0.04514304362014565</v>
      </c>
      <c r="K139" s="3" t="s">
        <v>47</v>
      </c>
      <c r="M139" s="6">
        <v>0.005097582350643615</v>
      </c>
      <c r="O139" s="6">
        <v>-0.036884542803225284</v>
      </c>
      <c r="T139" s="3" t="s">
        <v>54</v>
      </c>
      <c r="V139" s="6">
        <v>0.03662804723883628</v>
      </c>
      <c r="X139" s="6">
        <v>0.09542743538767406</v>
      </c>
    </row>
    <row r="140" ht="15.75" customHeight="1">
      <c r="B140" s="3" t="s">
        <v>54</v>
      </c>
      <c r="C140" s="6"/>
      <c r="D140" s="6">
        <v>-0.023973141688086952</v>
      </c>
      <c r="F140" s="6">
        <v>-0.1041239462292094</v>
      </c>
      <c r="K140" s="3" t="s">
        <v>54</v>
      </c>
      <c r="M140" s="6">
        <v>-0.003238126244349493</v>
      </c>
      <c r="O140" s="6">
        <v>-0.04738154613466339</v>
      </c>
      <c r="T140" s="3" t="s">
        <v>61</v>
      </c>
      <c r="V140" s="6">
        <v>-0.06620379541517663</v>
      </c>
      <c r="X140" s="6">
        <v>0.038112522686025496</v>
      </c>
    </row>
    <row r="141" ht="15.75" customHeight="1">
      <c r="B141" s="3" t="s">
        <v>61</v>
      </c>
      <c r="C141" s="6"/>
      <c r="D141" s="6">
        <v>-0.014403955713210737</v>
      </c>
      <c r="F141" s="6">
        <v>0.04069175991861651</v>
      </c>
      <c r="K141" s="3" t="s">
        <v>61</v>
      </c>
      <c r="M141" s="6">
        <v>8.998891155709288E-4</v>
      </c>
      <c r="O141" s="6">
        <v>-0.0035527299925205424</v>
      </c>
      <c r="T141" s="3" t="s">
        <v>68</v>
      </c>
      <c r="V141" s="6">
        <v>-0.012133926584739552</v>
      </c>
      <c r="X141" s="6">
        <v>0.00874125874125875</v>
      </c>
    </row>
    <row r="142" ht="15.75" customHeight="1">
      <c r="B142" s="3" t="s">
        <v>68</v>
      </c>
      <c r="C142" s="6"/>
      <c r="D142" s="6">
        <v>-0.007325408077943796</v>
      </c>
      <c r="F142" s="6">
        <v>-0.05144183773216027</v>
      </c>
      <c r="K142" s="3" t="s">
        <v>68</v>
      </c>
      <c r="M142" s="6">
        <v>0.006830330751842695</v>
      </c>
      <c r="O142" s="6">
        <v>-0.05310564833927567</v>
      </c>
      <c r="T142" s="3" t="s">
        <v>75</v>
      </c>
      <c r="V142" s="6">
        <v>-0.0282985775428658</v>
      </c>
      <c r="X142" s="6">
        <v>0.0615251299826689</v>
      </c>
    </row>
    <row r="143" ht="15.75" customHeight="1">
      <c r="B143" s="3" t="s">
        <v>75</v>
      </c>
      <c r="C143" s="6"/>
      <c r="D143" s="6">
        <v>-0.008679570049989982</v>
      </c>
      <c r="F143" s="6">
        <v>0.09609686976684273</v>
      </c>
      <c r="K143" s="3" t="s">
        <v>75</v>
      </c>
      <c r="M143" s="6">
        <v>-0.006476499316240281</v>
      </c>
      <c r="O143" s="6">
        <v>-0.014070550931430836</v>
      </c>
      <c r="T143" s="3" t="s">
        <v>82</v>
      </c>
      <c r="V143" s="6">
        <v>-0.032506684036576416</v>
      </c>
      <c r="X143" s="6">
        <v>0.06881632653061232</v>
      </c>
    </row>
    <row r="144" ht="15.75" customHeight="1">
      <c r="B144" s="3" t="s">
        <v>82</v>
      </c>
      <c r="C144" s="6"/>
      <c r="D144" s="6">
        <v>0.013484308328869377</v>
      </c>
      <c r="F144" s="6">
        <v>0.053590316135856186</v>
      </c>
      <c r="K144" s="3" t="s">
        <v>82</v>
      </c>
      <c r="M144" s="6">
        <v>0.003675091312656198</v>
      </c>
      <c r="O144" s="6">
        <v>0.06010050251256294</v>
      </c>
      <c r="T144" s="3" t="s">
        <v>89</v>
      </c>
      <c r="V144" s="6">
        <v>-0.050252106396928786</v>
      </c>
      <c r="X144" s="6">
        <v>-0.057511647445199765</v>
      </c>
    </row>
    <row r="145" ht="15.75" customHeight="1">
      <c r="B145" s="3" t="s">
        <v>89</v>
      </c>
      <c r="C145" s="6"/>
      <c r="D145" s="6">
        <v>-0.038620664516011316</v>
      </c>
      <c r="F145" s="6">
        <v>-0.09202453987730053</v>
      </c>
      <c r="K145" s="3" t="s">
        <v>89</v>
      </c>
      <c r="M145" s="6">
        <v>-0.06252739871019786</v>
      </c>
      <c r="O145" s="6">
        <v>-0.0018960940462646736</v>
      </c>
      <c r="T145" s="3" t="s">
        <v>96</v>
      </c>
      <c r="V145" s="6">
        <v>0.04521684800815229</v>
      </c>
      <c r="X145" s="6">
        <v>0.06102106969205834</v>
      </c>
    </row>
    <row r="146" ht="15.75" customHeight="1">
      <c r="B146" s="3" t="s">
        <v>96</v>
      </c>
      <c r="C146" s="6"/>
      <c r="D146" s="6">
        <v>0.012208993705922433</v>
      </c>
      <c r="F146" s="6">
        <v>0.26068796068796063</v>
      </c>
      <c r="K146" s="3" t="s">
        <v>96</v>
      </c>
      <c r="M146" s="6">
        <v>-0.014823767456787484</v>
      </c>
      <c r="O146" s="6">
        <v>0.029825227963525824</v>
      </c>
      <c r="T146" s="3" t="s">
        <v>103</v>
      </c>
      <c r="V146" s="6">
        <v>-0.007710347679326435</v>
      </c>
      <c r="X146" s="6">
        <v>-0.05392194302298936</v>
      </c>
    </row>
    <row r="147" ht="15.75" customHeight="1">
      <c r="B147" s="3" t="s">
        <v>103</v>
      </c>
      <c r="C147" s="6"/>
      <c r="D147" s="6">
        <v>0.04358330836080326</v>
      </c>
      <c r="F147" s="6">
        <v>0.2044435782498537</v>
      </c>
      <c r="K147" s="3" t="s">
        <v>103</v>
      </c>
      <c r="M147" s="6">
        <v>0.017503561036641635</v>
      </c>
      <c r="O147" s="6">
        <v>0.10385537723667215</v>
      </c>
      <c r="T147" s="3" t="s">
        <v>110</v>
      </c>
      <c r="V147" s="6">
        <v>-0.11839815668845555</v>
      </c>
      <c r="X147" s="6">
        <v>-0.26535884394930176</v>
      </c>
    </row>
    <row r="148" ht="15.75" customHeight="1">
      <c r="B148" s="3" t="s">
        <v>110</v>
      </c>
      <c r="C148" s="6"/>
      <c r="D148" s="6">
        <v>-0.0316947540336332</v>
      </c>
      <c r="F148" s="6">
        <v>0.04870550161812304</v>
      </c>
      <c r="K148" s="3" t="s">
        <v>110</v>
      </c>
      <c r="M148" s="6">
        <v>-0.036333837809841785</v>
      </c>
      <c r="O148" s="6">
        <v>-0.016377005347593676</v>
      </c>
      <c r="T148" s="3" t="s">
        <v>117</v>
      </c>
      <c r="V148" s="6">
        <v>-0.008166086612137136</v>
      </c>
      <c r="X148" s="6">
        <v>-0.023406593406593346</v>
      </c>
    </row>
    <row r="149" ht="15.75" customHeight="1">
      <c r="B149" s="3" t="s">
        <v>117</v>
      </c>
      <c r="C149" s="6"/>
      <c r="D149" s="6">
        <v>-0.06427816803514164</v>
      </c>
      <c r="F149" s="6">
        <v>-0.028699274803271058</v>
      </c>
      <c r="K149" s="3" t="s">
        <v>117</v>
      </c>
      <c r="M149" s="6">
        <v>-0.08388118010035872</v>
      </c>
      <c r="O149" s="6">
        <v>-0.08036017669045181</v>
      </c>
      <c r="T149" s="3" t="s">
        <v>124</v>
      </c>
      <c r="V149" s="6">
        <v>-0.0317219135640916</v>
      </c>
      <c r="X149" s="6">
        <v>-0.0488353775177226</v>
      </c>
    </row>
    <row r="150" ht="15.75" customHeight="1">
      <c r="B150" s="3" t="s">
        <v>124</v>
      </c>
      <c r="C150" s="6"/>
      <c r="D150" s="6">
        <v>0.010696246409824584</v>
      </c>
      <c r="F150" s="6">
        <v>-0.004289118347895138</v>
      </c>
      <c r="K150" s="3" t="s">
        <v>124</v>
      </c>
      <c r="M150" s="6">
        <v>-0.014199006084642418</v>
      </c>
      <c r="O150" s="6">
        <v>-0.023462035839645345</v>
      </c>
      <c r="T150" s="3" t="s">
        <v>130</v>
      </c>
      <c r="V150" s="6">
        <v>0.046012044105086636</v>
      </c>
      <c r="X150" s="6">
        <v>0.10966520761859688</v>
      </c>
    </row>
    <row r="151" ht="15.75" customHeight="1">
      <c r="B151" s="3" t="s">
        <v>130</v>
      </c>
      <c r="C151" s="6"/>
      <c r="D151" s="6">
        <v>-0.009524742773150408</v>
      </c>
      <c r="F151" s="6">
        <v>0.004786215698787455</v>
      </c>
      <c r="K151" s="3" t="s">
        <v>130</v>
      </c>
      <c r="M151" s="6">
        <v>-0.02796786988986799</v>
      </c>
      <c r="O151" s="6">
        <v>0.05448354143019296</v>
      </c>
      <c r="T151" s="3" t="s">
        <v>137</v>
      </c>
      <c r="V151" s="6">
        <v>0.04017998427943037</v>
      </c>
      <c r="X151" s="6">
        <v>0.008528784648187626</v>
      </c>
    </row>
    <row r="152" ht="15.75" customHeight="1">
      <c r="B152" s="3" t="s">
        <v>137</v>
      </c>
      <c r="C152" s="6"/>
      <c r="D152" s="6">
        <v>0.03462672391618349</v>
      </c>
      <c r="F152" s="6">
        <v>-0.014925373134328401</v>
      </c>
      <c r="K152" s="3" t="s">
        <v>137</v>
      </c>
      <c r="M152" s="6">
        <v>0.01296760483794035</v>
      </c>
      <c r="O152" s="6">
        <v>0.038751345532830994</v>
      </c>
      <c r="T152" s="3" t="s">
        <v>144</v>
      </c>
      <c r="V152" s="6">
        <v>-0.14879613962168448</v>
      </c>
      <c r="X152" s="6">
        <v>-0.15010570824524305</v>
      </c>
    </row>
    <row r="153" ht="15.75" customHeight="1">
      <c r="B153" s="3" t="s">
        <v>144</v>
      </c>
      <c r="C153" s="6"/>
      <c r="D153" s="6">
        <v>0.004130887949664208</v>
      </c>
      <c r="F153" s="6">
        <v>0.22001934235976783</v>
      </c>
      <c r="K153" s="3" t="s">
        <v>144</v>
      </c>
      <c r="M153" s="6">
        <v>-0.021630608752528535</v>
      </c>
      <c r="O153" s="6">
        <v>0.07582037996545776</v>
      </c>
      <c r="T153" s="3" t="s">
        <v>151</v>
      </c>
      <c r="V153" s="6">
        <v>-0.03582564301545332</v>
      </c>
      <c r="X153" s="6">
        <v>-0.054726368159204064</v>
      </c>
    </row>
    <row r="154" ht="15.75" customHeight="1">
      <c r="B154" s="3" t="s">
        <v>151</v>
      </c>
      <c r="C154" s="6"/>
      <c r="D154" s="6">
        <v>-0.013084468145890926</v>
      </c>
      <c r="F154" s="6">
        <v>0.017571673933148402</v>
      </c>
      <c r="K154" s="3" t="s">
        <v>151</v>
      </c>
      <c r="M154" s="6">
        <v>-0.02106477416734176</v>
      </c>
      <c r="O154" s="6">
        <v>-0.019425268903515813</v>
      </c>
      <c r="T154" s="3" t="s">
        <v>158</v>
      </c>
      <c r="V154" s="6">
        <v>0.021563483735572042</v>
      </c>
      <c r="X154" s="6">
        <v>0.01750000000000007</v>
      </c>
    </row>
    <row r="155" ht="15.75" customHeight="1">
      <c r="B155" s="3" t="s">
        <v>158</v>
      </c>
      <c r="C155" s="6"/>
      <c r="D155" s="6">
        <v>-0.013045659809332588</v>
      </c>
      <c r="F155" s="6">
        <v>0.19903921059465057</v>
      </c>
      <c r="K155" s="3" t="s">
        <v>158</v>
      </c>
      <c r="M155" s="6">
        <v>-0.014760665958889585</v>
      </c>
      <c r="O155" s="6">
        <v>0.05451866404715133</v>
      </c>
      <c r="T155" s="3" t="s">
        <v>164</v>
      </c>
      <c r="V155" s="6">
        <v>0.020374058687447905</v>
      </c>
      <c r="X155" s="6">
        <v>-0.053407474460105964</v>
      </c>
    </row>
    <row r="156" ht="15.75" customHeight="1">
      <c r="B156" s="3" t="s">
        <v>164</v>
      </c>
      <c r="C156" s="6"/>
      <c r="D156" s="6">
        <v>0.013198545227014913</v>
      </c>
      <c r="F156" s="6">
        <v>0.09366540335679474</v>
      </c>
      <c r="K156" s="3" t="s">
        <v>164</v>
      </c>
      <c r="M156" s="6">
        <v>0.014394489853554404</v>
      </c>
      <c r="O156" s="6">
        <v>0.030274802049371274</v>
      </c>
      <c r="T156" s="3" t="s">
        <v>171</v>
      </c>
      <c r="V156" s="6">
        <v>-0.01751033346405162</v>
      </c>
      <c r="X156" s="6">
        <v>-0.018169398907103784</v>
      </c>
    </row>
    <row r="157" ht="15.75" customHeight="1">
      <c r="B157" s="3" t="s">
        <v>171</v>
      </c>
      <c r="C157" s="6"/>
      <c r="D157" s="6">
        <v>-0.025628654688615637</v>
      </c>
      <c r="F157" s="6">
        <v>0.03366336633663369</v>
      </c>
      <c r="K157" s="3" t="s">
        <v>171</v>
      </c>
      <c r="M157" s="6">
        <v>-0.03058556790648037</v>
      </c>
      <c r="O157" s="6">
        <v>0.07986738999397214</v>
      </c>
      <c r="T157" s="3" t="s">
        <v>178</v>
      </c>
      <c r="V157" s="6">
        <v>-0.06877261368133702</v>
      </c>
      <c r="X157" s="6">
        <v>-0.06497843328231534</v>
      </c>
    </row>
    <row r="158" ht="15.75" customHeight="1">
      <c r="B158" s="3" t="s">
        <v>178</v>
      </c>
      <c r="C158" s="6"/>
      <c r="D158" s="6">
        <v>0.015409297074610251</v>
      </c>
      <c r="F158" s="6">
        <v>0.2617337164750957</v>
      </c>
      <c r="K158" s="3" t="s">
        <v>178</v>
      </c>
      <c r="M158" s="6">
        <v>0.03124663663126115</v>
      </c>
      <c r="O158" s="6">
        <v>0.03111917387663965</v>
      </c>
      <c r="T158" s="3" t="s">
        <v>185</v>
      </c>
      <c r="V158" s="6">
        <v>-0.001812419973617696</v>
      </c>
      <c r="X158" s="6">
        <v>-0.041220238095238004</v>
      </c>
    </row>
    <row r="159" ht="15.75" customHeight="1">
      <c r="B159" s="3" t="s">
        <v>185</v>
      </c>
      <c r="C159" s="6"/>
      <c r="D159" s="6">
        <v>-0.03522733922406218</v>
      </c>
      <c r="F159" s="6">
        <v>-0.08388688555703161</v>
      </c>
      <c r="K159" s="3" t="s">
        <v>185</v>
      </c>
      <c r="M159" s="6">
        <v>-0.04403409167721617</v>
      </c>
      <c r="O159" s="6">
        <v>-0.0023007172824468514</v>
      </c>
      <c r="T159" s="3" t="s">
        <v>192</v>
      </c>
      <c r="V159" s="6">
        <v>-0.062161144031047555</v>
      </c>
      <c r="X159" s="6">
        <v>-0.09824615862176012</v>
      </c>
    </row>
    <row r="160" ht="15.75" customHeight="1">
      <c r="B160" s="3" t="s">
        <v>192</v>
      </c>
      <c r="C160" s="6"/>
      <c r="D160" s="6">
        <v>-0.0180748468490326</v>
      </c>
      <c r="F160" s="6">
        <v>-0.15081831365237208</v>
      </c>
      <c r="K160" s="3" t="s">
        <v>192</v>
      </c>
      <c r="M160" s="6">
        <v>-0.0438070865852217</v>
      </c>
      <c r="O160" s="6">
        <v>-0.1474498100922409</v>
      </c>
      <c r="T160" s="3" t="s">
        <v>198</v>
      </c>
      <c r="V160" s="6">
        <v>0.10089202050749524</v>
      </c>
      <c r="X160" s="6">
        <v>0.23012048192771073</v>
      </c>
    </row>
    <row r="161" ht="15.75" customHeight="1">
      <c r="B161" s="3" t="s">
        <v>198</v>
      </c>
      <c r="C161" s="6"/>
      <c r="D161" s="6">
        <v>-0.013692424897564281</v>
      </c>
      <c r="F161" s="6">
        <v>0.03195901439375448</v>
      </c>
      <c r="K161" s="3" t="s">
        <v>198</v>
      </c>
      <c r="M161" s="6">
        <v>-0.008999181247249077</v>
      </c>
      <c r="O161" s="6">
        <v>-0.0017501988862370643</v>
      </c>
      <c r="T161" s="3" t="s">
        <v>205</v>
      </c>
      <c r="V161" s="6">
        <v>-2.6455662714341965E-4</v>
      </c>
      <c r="X161" s="6">
        <v>-0.020568070519098924</v>
      </c>
    </row>
    <row r="162" ht="15.75" customHeight="1">
      <c r="B162" s="3" t="s">
        <v>205</v>
      </c>
      <c r="C162" s="6"/>
      <c r="D162" s="6">
        <v>-0.036345037785478596</v>
      </c>
      <c r="F162" s="6">
        <v>-0.05900709219858147</v>
      </c>
      <c r="K162" s="3" t="s">
        <v>205</v>
      </c>
      <c r="M162" s="6">
        <v>-0.03200940325842716</v>
      </c>
      <c r="O162" s="6">
        <v>-0.050366592285623235</v>
      </c>
      <c r="T162" s="3" t="s">
        <v>212</v>
      </c>
      <c r="V162" s="6">
        <v>0.004083816819692387</v>
      </c>
      <c r="X162" s="6">
        <v>0.13042857142857134</v>
      </c>
    </row>
    <row r="163" ht="15.75" customHeight="1">
      <c r="B163" s="3" t="s">
        <v>212</v>
      </c>
      <c r="C163" s="6"/>
      <c r="D163" s="6">
        <v>-0.06054894824635515</v>
      </c>
      <c r="F163" s="6">
        <v>-0.11566676715907942</v>
      </c>
      <c r="K163" s="3" t="s">
        <v>212</v>
      </c>
      <c r="M163" s="6">
        <v>-0.08665141781624042</v>
      </c>
      <c r="O163" s="6">
        <v>-0.06780798925814036</v>
      </c>
      <c r="T163" s="3" t="s">
        <v>219</v>
      </c>
      <c r="V163" s="6">
        <v>0.04074102643217126</v>
      </c>
      <c r="X163" s="6">
        <v>0.019461645393656024</v>
      </c>
    </row>
    <row r="164" ht="15.75" customHeight="1">
      <c r="B164" s="3" t="s">
        <v>219</v>
      </c>
      <c r="C164" s="6"/>
      <c r="D164" s="6">
        <v>0.03818659779550804</v>
      </c>
      <c r="F164" s="6">
        <v>0.03465909090909092</v>
      </c>
      <c r="K164" s="3" t="s">
        <v>219</v>
      </c>
      <c r="M164" s="6">
        <v>0.03890795214694598</v>
      </c>
      <c r="O164" s="6">
        <v>0.18491177529708325</v>
      </c>
      <c r="T164" s="3" t="s">
        <v>226</v>
      </c>
      <c r="V164" s="6">
        <v>0.032139861176462725</v>
      </c>
      <c r="X164" s="6">
        <v>0.015619189289698854</v>
      </c>
    </row>
    <row r="165" ht="15.75" customHeight="1">
      <c r="B165" s="3" t="s">
        <v>226</v>
      </c>
      <c r="C165" s="6"/>
      <c r="D165" s="6">
        <v>0.01770245657678471</v>
      </c>
      <c r="F165" s="6">
        <v>-0.05678198791872613</v>
      </c>
      <c r="K165" s="3" t="s">
        <v>226</v>
      </c>
      <c r="M165" s="6">
        <v>0.03642784816378941</v>
      </c>
      <c r="O165" s="6">
        <v>0.06260446740616943</v>
      </c>
      <c r="T165" s="3" t="s">
        <v>233</v>
      </c>
      <c r="V165" s="6">
        <v>0.09231174307993761</v>
      </c>
      <c r="X165" s="6">
        <v>0.12132308067862807</v>
      </c>
    </row>
    <row r="166" ht="15.75" customHeight="1">
      <c r="B166" s="3" t="s">
        <v>233</v>
      </c>
      <c r="C166" s="6"/>
      <c r="D166" s="6">
        <v>0.028721709334555534</v>
      </c>
      <c r="F166" s="6">
        <v>0.08546809501630181</v>
      </c>
      <c r="K166" s="3" t="s">
        <v>233</v>
      </c>
      <c r="M166" s="6">
        <v>0.031338025519405566</v>
      </c>
      <c r="O166" s="6">
        <v>0.039039039039038936</v>
      </c>
      <c r="T166" s="3" t="s">
        <v>240</v>
      </c>
      <c r="V166" s="6">
        <v>-0.05789698061750259</v>
      </c>
      <c r="X166" s="6">
        <v>-0.09295743986067273</v>
      </c>
    </row>
    <row r="167" ht="15.75" customHeight="1">
      <c r="B167" s="3" t="s">
        <v>240</v>
      </c>
      <c r="C167" s="6"/>
      <c r="D167" s="6">
        <v>-0.0199851490399916</v>
      </c>
      <c r="F167" s="6">
        <v>-0.13698777086462122</v>
      </c>
      <c r="K167" s="3" t="s">
        <v>240</v>
      </c>
      <c r="M167" s="6">
        <v>-0.018175538994444684</v>
      </c>
      <c r="O167" s="6">
        <v>0.015001376273052536</v>
      </c>
      <c r="T167" s="3" t="s">
        <v>247</v>
      </c>
      <c r="V167" s="6">
        <v>-0.0360617727552186</v>
      </c>
      <c r="X167" s="6">
        <v>-0.05436217448697944</v>
      </c>
    </row>
    <row r="168" ht="15.75" customHeight="1">
      <c r="B168" s="3" t="s">
        <v>247</v>
      </c>
      <c r="C168" s="6"/>
      <c r="D168" s="6">
        <v>-0.022016322819474854</v>
      </c>
      <c r="F168" s="6">
        <v>-0.11858297078931013</v>
      </c>
      <c r="K168" s="3" t="s">
        <v>247</v>
      </c>
      <c r="M168" s="6">
        <v>-0.029965506350670967</v>
      </c>
      <c r="O168" s="6">
        <v>-0.05613559322033901</v>
      </c>
      <c r="T168" s="3" t="s">
        <v>254</v>
      </c>
      <c r="V168" s="6">
        <v>0.09105382337762902</v>
      </c>
      <c r="X168" s="6">
        <v>-0.0016497461928933754</v>
      </c>
    </row>
    <row r="169" ht="15.75" customHeight="1">
      <c r="B169" s="3" t="s">
        <v>254</v>
      </c>
      <c r="C169" s="6"/>
      <c r="D169" s="6">
        <v>0.03293784310253223</v>
      </c>
      <c r="F169" s="6">
        <v>0.057678747708362677</v>
      </c>
      <c r="K169" s="3" t="s">
        <v>254</v>
      </c>
      <c r="M169" s="6">
        <v>0.016493850237678354</v>
      </c>
      <c r="O169" s="6">
        <v>0.011923574199109277</v>
      </c>
      <c r="T169" s="3" t="s">
        <v>261</v>
      </c>
      <c r="V169" s="6">
        <v>0.02541095384318437</v>
      </c>
      <c r="X169" s="6">
        <v>-0.026312444387949774</v>
      </c>
    </row>
    <row r="170" ht="15.75" customHeight="1">
      <c r="B170" s="3" t="s">
        <v>261</v>
      </c>
      <c r="C170" s="6"/>
      <c r="D170" s="6">
        <v>-0.01885822046974117</v>
      </c>
      <c r="F170" s="6">
        <v>0.11573333333333347</v>
      </c>
      <c r="K170" s="3" t="s">
        <v>261</v>
      </c>
      <c r="M170" s="6">
        <v>-0.018435686122300732</v>
      </c>
      <c r="O170" s="6">
        <v>0.004400908574673457</v>
      </c>
      <c r="T170" s="3" t="s">
        <v>268</v>
      </c>
      <c r="V170" s="6">
        <v>-0.03010621021161175</v>
      </c>
      <c r="X170" s="6">
        <v>-0.0809399477806787</v>
      </c>
    </row>
    <row r="171" ht="15.75" customHeight="1">
      <c r="B171" s="3" t="s">
        <v>268</v>
      </c>
      <c r="C171" s="6"/>
      <c r="D171" s="6">
        <v>0.007142233094530992</v>
      </c>
      <c r="F171" s="6">
        <v>-0.010874760994263988</v>
      </c>
      <c r="K171" s="3" t="s">
        <v>268</v>
      </c>
      <c r="M171" s="6">
        <v>-0.01687265337670618</v>
      </c>
      <c r="O171" s="6">
        <v>0.029540636042402868</v>
      </c>
      <c r="T171" s="3" t="s">
        <v>275</v>
      </c>
      <c r="V171" s="6">
        <v>0.1039318829431406</v>
      </c>
      <c r="X171" s="6">
        <v>0.16008522727272712</v>
      </c>
    </row>
    <row r="172" ht="15.75" customHeight="1">
      <c r="B172" s="3" t="s">
        <v>275</v>
      </c>
      <c r="C172" s="6"/>
      <c r="D172" s="6">
        <v>-0.017132571403786545</v>
      </c>
      <c r="F172" s="6">
        <v>-0.13156940920623406</v>
      </c>
      <c r="K172" s="3" t="s">
        <v>275</v>
      </c>
      <c r="M172" s="6">
        <v>-0.015416065196932727</v>
      </c>
      <c r="O172" s="6">
        <v>-0.06493684788577714</v>
      </c>
      <c r="T172" s="3" t="s">
        <v>281</v>
      </c>
      <c r="V172" s="6">
        <v>-0.09435440266674855</v>
      </c>
      <c r="X172" s="6">
        <v>-0.21390963634137383</v>
      </c>
    </row>
    <row r="173" ht="15.75" customHeight="1">
      <c r="B173" s="3" t="s">
        <v>281</v>
      </c>
      <c r="C173" s="6"/>
      <c r="D173" s="6">
        <v>-0.062487588535116156</v>
      </c>
      <c r="F173" s="6">
        <v>-0.07735114079020589</v>
      </c>
      <c r="K173" s="3" t="s">
        <v>281</v>
      </c>
      <c r="M173" s="6">
        <v>-0.0796310483617757</v>
      </c>
      <c r="O173" s="6">
        <v>-0.09837028336514464</v>
      </c>
      <c r="T173" s="3" t="s">
        <v>288</v>
      </c>
      <c r="V173" s="6">
        <v>-0.05986327567145111</v>
      </c>
      <c r="X173" s="6">
        <v>-0.005763239875389514</v>
      </c>
    </row>
    <row r="174" ht="15.75" customHeight="1">
      <c r="B174" s="3" t="s">
        <v>288</v>
      </c>
      <c r="C174" s="6"/>
      <c r="D174" s="6">
        <v>0.035656287509708395</v>
      </c>
      <c r="F174" s="6">
        <v>0.12273823884197821</v>
      </c>
      <c r="K174" s="3" t="s">
        <v>288</v>
      </c>
      <c r="M174" s="6">
        <v>0.034003443077539774</v>
      </c>
      <c r="O174" s="6">
        <v>0.051294577430386123</v>
      </c>
      <c r="T174" s="3" t="s">
        <v>295</v>
      </c>
      <c r="V174" s="6">
        <v>-0.21025765665101737</v>
      </c>
      <c r="X174" s="6">
        <v>-0.08240639197869337</v>
      </c>
    </row>
    <row r="175" ht="15.75" customHeight="1">
      <c r="B175" s="3" t="s">
        <v>295</v>
      </c>
      <c r="C175" s="6"/>
      <c r="D175" s="6">
        <v>-0.06326697572947926</v>
      </c>
      <c r="F175" s="6">
        <v>-0.08272898200376033</v>
      </c>
      <c r="K175" s="3" t="s">
        <v>295</v>
      </c>
      <c r="M175" s="6">
        <v>-0.07941215694337178</v>
      </c>
      <c r="O175" s="6">
        <v>-0.09262701363073111</v>
      </c>
      <c r="T175" s="3" t="s">
        <v>302</v>
      </c>
      <c r="V175" s="6">
        <v>0.17265653617956533</v>
      </c>
      <c r="X175" s="6">
        <v>0.10636844801092704</v>
      </c>
    </row>
    <row r="176" ht="15.75" customHeight="1">
      <c r="B176" s="3" t="s">
        <v>302</v>
      </c>
      <c r="C176" s="6"/>
      <c r="D176" s="6">
        <v>-0.059073265405143016</v>
      </c>
      <c r="F176" s="6">
        <v>-0.10161054172767203</v>
      </c>
      <c r="K176" s="3" t="s">
        <v>302</v>
      </c>
      <c r="M176" s="6">
        <v>-0.08596667808482727</v>
      </c>
      <c r="O176" s="6">
        <v>-0.10771594400819384</v>
      </c>
      <c r="T176" s="3" t="s">
        <v>309</v>
      </c>
      <c r="V176" s="6">
        <v>0.15860111259299425</v>
      </c>
      <c r="X176" s="6">
        <v>0.24583333333333335</v>
      </c>
    </row>
    <row r="177" ht="15.75" customHeight="1">
      <c r="B177" s="3" t="s">
        <v>309</v>
      </c>
      <c r="C177" s="6"/>
      <c r="D177" s="6">
        <v>0.07031068712130972</v>
      </c>
      <c r="F177" s="6">
        <v>0.08816818774445889</v>
      </c>
      <c r="K177" s="3" t="s">
        <v>309</v>
      </c>
      <c r="M177" s="6">
        <v>0.05948312581102089</v>
      </c>
      <c r="O177" s="6">
        <v>0.08035201836617545</v>
      </c>
      <c r="T177" s="3" t="s">
        <v>316</v>
      </c>
      <c r="V177" s="6">
        <v>0.010129099411207099</v>
      </c>
      <c r="X177" s="6">
        <v>0.1792394401090054</v>
      </c>
    </row>
    <row r="178" ht="15.75" customHeight="1">
      <c r="B178" s="3" t="s">
        <v>316</v>
      </c>
      <c r="C178" s="6"/>
      <c r="D178" s="6">
        <v>0.05581518597032198</v>
      </c>
      <c r="F178" s="6">
        <v>0.04253407218810845</v>
      </c>
      <c r="K178" s="3" t="s">
        <v>316</v>
      </c>
      <c r="M178" s="6">
        <v>0.050572031389268135</v>
      </c>
      <c r="O178" s="6">
        <v>0.016823091907207433</v>
      </c>
      <c r="T178" s="3" t="s">
        <v>323</v>
      </c>
      <c r="V178" s="6">
        <v>0.08450272393385583</v>
      </c>
      <c r="X178" s="6">
        <v>0.09947478991596648</v>
      </c>
    </row>
    <row r="179" ht="15.75" customHeight="1">
      <c r="B179" s="3" t="s">
        <v>323</v>
      </c>
      <c r="C179" s="6"/>
      <c r="D179" s="6">
        <v>-0.0709347692167287</v>
      </c>
      <c r="F179" s="6">
        <v>-0.15299525930182445</v>
      </c>
      <c r="K179" s="3" t="s">
        <v>323</v>
      </c>
      <c r="M179" s="6">
        <v>-0.05193395159466174</v>
      </c>
      <c r="O179" s="6">
        <v>-0.04649947753396033</v>
      </c>
      <c r="T179" s="3" t="s">
        <v>330</v>
      </c>
      <c r="V179" s="6">
        <v>-0.02033825576549453</v>
      </c>
      <c r="X179" s="6">
        <v>-0.10834049871023221</v>
      </c>
    </row>
    <row r="180" ht="15.75" customHeight="1">
      <c r="B180" s="3" t="s">
        <v>330</v>
      </c>
      <c r="C180" s="6"/>
      <c r="D180" s="6">
        <v>0.08877701375245595</v>
      </c>
      <c r="F180" s="6">
        <v>0.18164857530529166</v>
      </c>
      <c r="K180" s="3" t="s">
        <v>330</v>
      </c>
      <c r="M180" s="6">
        <v>0.12551696408805846</v>
      </c>
      <c r="O180" s="6">
        <v>0.2040182648401827</v>
      </c>
      <c r="T180" s="3" t="s">
        <v>337</v>
      </c>
      <c r="V180" s="6">
        <v>-0.015213960177817731</v>
      </c>
      <c r="X180" s="6">
        <v>-0.15782706525233048</v>
      </c>
    </row>
    <row r="181" ht="15.75" customHeight="1">
      <c r="B181" s="3" t="s">
        <v>337</v>
      </c>
      <c r="C181" s="6"/>
      <c r="D181" s="6">
        <v>0.015879102289387603</v>
      </c>
      <c r="F181" s="6">
        <v>-0.06832208985216015</v>
      </c>
      <c r="K181" s="3" t="s">
        <v>337</v>
      </c>
      <c r="M181" s="6">
        <v>-0.0201878603175486</v>
      </c>
      <c r="O181" s="6">
        <v>0.017141990291262177</v>
      </c>
      <c r="T181" s="3" t="s">
        <v>344</v>
      </c>
      <c r="V181" s="6">
        <v>0.04302921990631314</v>
      </c>
      <c r="X181" s="6">
        <v>-0.0483460559796437</v>
      </c>
    </row>
    <row r="182" ht="15.75" customHeight="1">
      <c r="B182" s="3" t="s">
        <v>344</v>
      </c>
      <c r="C182" s="6"/>
      <c r="D182" s="6">
        <v>0.012145029863007695</v>
      </c>
      <c r="F182" s="6">
        <v>0.1400400554614083</v>
      </c>
      <c r="K182" s="3" t="s">
        <v>344</v>
      </c>
      <c r="M182" s="6">
        <v>0.022476429080117155</v>
      </c>
      <c r="O182" s="6">
        <v>-0.05219985085756895</v>
      </c>
      <c r="T182" s="3" t="s">
        <v>351</v>
      </c>
      <c r="V182" s="6">
        <v>0.0325578435094116</v>
      </c>
      <c r="X182" s="6">
        <v>0.057887700534759334</v>
      </c>
    </row>
    <row r="183" ht="15.75" customHeight="1">
      <c r="B183" s="3" t="s">
        <v>351</v>
      </c>
      <c r="C183" s="6"/>
      <c r="D183" s="6">
        <v>-0.006032553854253497</v>
      </c>
      <c r="F183" s="6">
        <v>0.10608108108108105</v>
      </c>
      <c r="K183" s="3" t="s">
        <v>351</v>
      </c>
      <c r="M183" s="6">
        <v>0.0032099065193638143</v>
      </c>
      <c r="O183" s="6">
        <v>0.09992132179386326</v>
      </c>
      <c r="T183" s="3" t="s">
        <v>358</v>
      </c>
      <c r="V183" s="6">
        <v>0.04795663456466803</v>
      </c>
      <c r="X183" s="6">
        <v>-0.06735751295336789</v>
      </c>
    </row>
    <row r="184" ht="15.75" customHeight="1">
      <c r="B184" s="3" t="s">
        <v>358</v>
      </c>
      <c r="C184" s="6"/>
      <c r="D184" s="6">
        <v>0.03480391075014899</v>
      </c>
      <c r="F184" s="6">
        <v>0.03665241295051902</v>
      </c>
      <c r="K184" s="3" t="s">
        <v>358</v>
      </c>
      <c r="M184" s="6">
        <v>0.06985537672999564</v>
      </c>
      <c r="O184" s="6">
        <v>-8.583690987125081E-4</v>
      </c>
      <c r="T184" s="3" t="s">
        <v>365</v>
      </c>
      <c r="V184" s="6">
        <v>-0.016997965739387833</v>
      </c>
      <c r="X184" s="6">
        <v>0.20420054200542026</v>
      </c>
    </row>
    <row r="185" ht="15.75" customHeight="1">
      <c r="B185" s="3" t="s">
        <v>365</v>
      </c>
      <c r="C185" s="6"/>
      <c r="D185" s="6">
        <v>0.042292270943524946</v>
      </c>
      <c r="F185" s="6">
        <v>-0.016735415439009915</v>
      </c>
      <c r="K185" s="3" t="s">
        <v>365</v>
      </c>
      <c r="M185" s="6">
        <v>0.026737421790165028</v>
      </c>
      <c r="O185" s="6">
        <v>-0.014175257731958935</v>
      </c>
      <c r="T185" s="3" t="s">
        <v>372</v>
      </c>
      <c r="V185" s="6">
        <v>0.00331614216287357</v>
      </c>
      <c r="X185" s="6">
        <v>0.14920670642511524</v>
      </c>
    </row>
    <row r="186" ht="15.75" customHeight="1">
      <c r="B186" s="3" t="s">
        <v>372</v>
      </c>
      <c r="C186" s="6"/>
      <c r="D186" s="6">
        <v>-0.052689734198195226</v>
      </c>
      <c r="F186" s="6">
        <v>-0.09265252307323502</v>
      </c>
      <c r="K186" s="3" t="s">
        <v>372</v>
      </c>
      <c r="M186" s="6">
        <v>-0.04940112786640871</v>
      </c>
      <c r="O186" s="6">
        <v>0.015250544662309462</v>
      </c>
      <c r="T186" s="3" t="s">
        <v>378</v>
      </c>
      <c r="V186" s="6">
        <v>0.08102061489414836</v>
      </c>
      <c r="X186" s="6">
        <v>-0.03192010183099958</v>
      </c>
    </row>
    <row r="187" ht="15.75" customHeight="1">
      <c r="B187" s="3" t="s">
        <v>378</v>
      </c>
      <c r="C187" s="6"/>
      <c r="D187" s="6">
        <v>0.027108173492310428</v>
      </c>
      <c r="F187" s="6">
        <v>0.13936591809775423</v>
      </c>
      <c r="K187" s="3" t="s">
        <v>378</v>
      </c>
      <c r="M187" s="6">
        <v>0.038982445846492686</v>
      </c>
      <c r="O187" s="6">
        <v>0.024463519313304705</v>
      </c>
      <c r="T187" s="3" t="s">
        <v>385</v>
      </c>
      <c r="V187" s="6">
        <v>-0.031587359381871405</v>
      </c>
      <c r="X187" s="6">
        <v>-0.18074238899565087</v>
      </c>
    </row>
    <row r="188" ht="15.75" customHeight="1">
      <c r="B188" s="3" t="s">
        <v>385</v>
      </c>
      <c r="C188" s="6"/>
      <c r="D188" s="6">
        <v>-0.04353220752455256</v>
      </c>
      <c r="F188" s="6">
        <v>-0.04220289855072468</v>
      </c>
      <c r="K188" s="3" t="s">
        <v>385</v>
      </c>
      <c r="M188" s="6">
        <v>-0.027285759176786994</v>
      </c>
      <c r="O188" s="6">
        <v>-0.09817064655774332</v>
      </c>
      <c r="T188" s="3" t="s">
        <v>392</v>
      </c>
      <c r="V188" s="6">
        <v>0.053034224134142605</v>
      </c>
      <c r="X188" s="6">
        <v>0.08395061728395059</v>
      </c>
    </row>
    <row r="189" ht="15.75" customHeight="1">
      <c r="B189" s="3" t="s">
        <v>392</v>
      </c>
      <c r="C189" s="6"/>
      <c r="D189" s="6">
        <v>0.03533343594028282</v>
      </c>
      <c r="F189" s="6">
        <v>0.02481539765161611</v>
      </c>
      <c r="K189" s="3" t="s">
        <v>392</v>
      </c>
      <c r="M189" s="6">
        <v>0.03763918931581722</v>
      </c>
      <c r="O189" s="6">
        <v>-0.08222359863734896</v>
      </c>
      <c r="T189" s="3" t="s">
        <v>399</v>
      </c>
      <c r="V189" s="6">
        <v>0.0031701391746741248</v>
      </c>
      <c r="X189" s="6">
        <v>-0.09259681093394068</v>
      </c>
    </row>
    <row r="190" ht="15.75" customHeight="1">
      <c r="B190" s="3" t="s">
        <v>399</v>
      </c>
      <c r="C190" s="6"/>
      <c r="D190" s="6">
        <v>-0.019410465511382924</v>
      </c>
      <c r="F190" s="6">
        <v>-0.04382234821639486</v>
      </c>
      <c r="K190" s="3" t="s">
        <v>399</v>
      </c>
      <c r="M190" s="6">
        <v>-0.018357963232289887</v>
      </c>
      <c r="O190" s="6">
        <v>0.06343850177155397</v>
      </c>
      <c r="T190" s="3" t="s">
        <v>405</v>
      </c>
      <c r="V190" s="6">
        <v>0.11043167393589548</v>
      </c>
      <c r="X190" s="6">
        <v>-0.028492531693234513</v>
      </c>
    </row>
    <row r="191" ht="15.75" customHeight="1">
      <c r="B191" s="3" t="s">
        <v>405</v>
      </c>
      <c r="C191" s="6"/>
      <c r="D191" s="6">
        <v>-0.019274916619742788</v>
      </c>
      <c r="F191" s="6">
        <v>0.022483014206299945</v>
      </c>
      <c r="K191" s="3" t="s">
        <v>405</v>
      </c>
      <c r="M191" s="6">
        <v>-8.588307421518726E-4</v>
      </c>
      <c r="O191" s="6">
        <v>0.00317309217832773</v>
      </c>
      <c r="T191" s="3" t="s">
        <v>412</v>
      </c>
      <c r="V191" s="6">
        <v>0.011233889333094993</v>
      </c>
      <c r="X191" s="6">
        <v>-0.22480620155038766</v>
      </c>
    </row>
    <row r="192" ht="15.75" customHeight="1">
      <c r="B192" s="3" t="s">
        <v>412</v>
      </c>
      <c r="C192" s="6"/>
      <c r="D192" s="6">
        <v>-0.013426375761858456</v>
      </c>
      <c r="F192" s="6">
        <v>-0.017880874713060213</v>
      </c>
      <c r="K192" s="3" t="s">
        <v>412</v>
      </c>
      <c r="M192" s="6">
        <v>-0.007076795887461573</v>
      </c>
      <c r="O192" s="6">
        <v>0.009014708208129107</v>
      </c>
      <c r="T192" s="3" t="s">
        <v>419</v>
      </c>
    </row>
    <row r="193" ht="15.75" customHeight="1">
      <c r="B193" s="3" t="s">
        <v>419</v>
      </c>
      <c r="K193" s="3" t="s">
        <v>419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2026-04-05T22:35:44Z</dcterms:created>
  <dc:creator>Morello  Marco</dc:creator>
  <cp:lastModifiedBy>Morello  Marco</cp:lastModifiedBy>
  <dcterms:modified xsi:type="dcterms:W3CDTF">2026-04-07T21:54:15Z</dcterms:modified>
</cp:coreProperties>
</file>